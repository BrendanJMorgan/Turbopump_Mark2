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end\Desktop\Turbopump_Mark2\Concepts\"/>
    </mc:Choice>
  </mc:AlternateContent>
  <xr:revisionPtr revIDLastSave="0" documentId="13_ncr:1_{C01B35D5-1C31-43BE-9133-CE945F983D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eon-R" sheetId="3" r:id="rId1"/>
    <sheet name="Merlin" sheetId="1" r:id="rId2"/>
    <sheet name="Referenc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" l="1"/>
  <c r="H35" i="3" s="1"/>
  <c r="H39" i="3" s="1"/>
  <c r="H19" i="3"/>
  <c r="H2" i="3"/>
  <c r="C19" i="3"/>
  <c r="C34" i="3"/>
  <c r="H16" i="3"/>
  <c r="C16" i="3"/>
  <c r="H15" i="3"/>
  <c r="C15" i="3"/>
  <c r="C6" i="3"/>
  <c r="C5" i="3"/>
  <c r="C2" i="3"/>
  <c r="J16" i="1"/>
  <c r="E16" i="1"/>
  <c r="C2" i="1"/>
  <c r="H16" i="1"/>
  <c r="C34" i="1"/>
  <c r="H15" i="1"/>
  <c r="C35" i="3" l="1"/>
  <c r="C39" i="3" s="1"/>
  <c r="C18" i="3"/>
  <c r="H18" i="3"/>
  <c r="H20" i="3"/>
  <c r="H21" i="3" s="1"/>
  <c r="C20" i="3"/>
  <c r="C21" i="3" s="1"/>
  <c r="H18" i="1"/>
  <c r="H24" i="3" l="1"/>
  <c r="C22" i="3"/>
  <c r="C24" i="3" s="1"/>
  <c r="E24" i="3" s="1"/>
  <c r="E21" i="3"/>
  <c r="H22" i="3"/>
  <c r="J21" i="3"/>
  <c r="H27" i="3"/>
  <c r="C27" i="3"/>
  <c r="E27" i="3" s="1"/>
  <c r="C6" i="1"/>
  <c r="C5" i="1"/>
  <c r="C9" i="1" s="1"/>
  <c r="C19" i="1" s="1"/>
  <c r="C20" i="1" s="1"/>
  <c r="C15" i="1"/>
  <c r="C18" i="1" s="1"/>
  <c r="C16" i="1"/>
  <c r="C27" i="1" l="1"/>
  <c r="J27" i="3"/>
  <c r="H30" i="3"/>
  <c r="J24" i="3"/>
  <c r="C30" i="3"/>
  <c r="C21" i="1"/>
  <c r="C35" i="1"/>
  <c r="C39" i="1" s="1"/>
  <c r="H19" i="1"/>
  <c r="H20" i="1" s="1"/>
  <c r="H32" i="3" l="1"/>
  <c r="H33" i="3" s="1"/>
  <c r="H36" i="3" s="1"/>
  <c r="J30" i="3"/>
  <c r="C32" i="3"/>
  <c r="C33" i="3" s="1"/>
  <c r="C36" i="3" s="1"/>
  <c r="E30" i="3"/>
  <c r="I10" i="3"/>
  <c r="C42" i="3"/>
  <c r="E27" i="1"/>
  <c r="H21" i="1"/>
  <c r="J21" i="1" s="1"/>
  <c r="H27" i="1"/>
  <c r="J27" i="1" s="1"/>
  <c r="H22" i="1" l="1"/>
  <c r="H24" i="1" s="1"/>
  <c r="J24" i="1" s="1"/>
  <c r="C30" i="1"/>
  <c r="E21" i="1"/>
  <c r="C22" i="1"/>
  <c r="C24" i="1" s="1"/>
  <c r="E24" i="1" s="1"/>
  <c r="C32" i="1" l="1"/>
  <c r="C33" i="1" s="1"/>
  <c r="C36" i="1" s="1"/>
  <c r="I30" i="1" l="1"/>
  <c r="I10" i="1"/>
</calcChain>
</file>

<file path=xl/sharedStrings.xml><?xml version="1.0" encoding="utf-8"?>
<sst xmlns="http://schemas.openxmlformats.org/spreadsheetml/2006/main" count="174" uniqueCount="54">
  <si>
    <t>shaft speed</t>
  </si>
  <si>
    <t>rpm</t>
  </si>
  <si>
    <t>rad/s</t>
  </si>
  <si>
    <t>head</t>
  </si>
  <si>
    <t>bar</t>
  </si>
  <si>
    <t>ox pump</t>
  </si>
  <si>
    <t>discharge pressure</t>
  </si>
  <si>
    <t>Pa</t>
  </si>
  <si>
    <t>inlet pressure</t>
  </si>
  <si>
    <t>density</t>
  </si>
  <si>
    <t>kg/m3</t>
  </si>
  <si>
    <t>m</t>
  </si>
  <si>
    <t>mass flow</t>
  </si>
  <si>
    <t>kg/s</t>
  </si>
  <si>
    <t>TCA</t>
  </si>
  <si>
    <t>thrust</t>
  </si>
  <si>
    <t>lbf</t>
  </si>
  <si>
    <t>N</t>
  </si>
  <si>
    <t>chamber pressure</t>
  </si>
  <si>
    <t>c star</t>
  </si>
  <si>
    <t>m/s</t>
  </si>
  <si>
    <t>c tau</t>
  </si>
  <si>
    <t>OF ratio</t>
  </si>
  <si>
    <t>volumetric flow</t>
  </si>
  <si>
    <t>m3/s</t>
  </si>
  <si>
    <t>specific speed</t>
  </si>
  <si>
    <t>Ns</t>
  </si>
  <si>
    <t>fuel pump</t>
  </si>
  <si>
    <t>head coefficient</t>
  </si>
  <si>
    <t>impeller OD</t>
  </si>
  <si>
    <t>in</t>
  </si>
  <si>
    <t>pump efficiency</t>
  </si>
  <si>
    <t>turbine</t>
  </si>
  <si>
    <t>turbine efficiency</t>
  </si>
  <si>
    <t>shaft power</t>
  </si>
  <si>
    <t>turbine power</t>
  </si>
  <si>
    <t>pump power</t>
  </si>
  <si>
    <t>W</t>
  </si>
  <si>
    <t>kW</t>
  </si>
  <si>
    <t>turbine torque</t>
  </si>
  <si>
    <t>N*m</t>
  </si>
  <si>
    <t>wheel pitchline radius</t>
  </si>
  <si>
    <t>pitchline speed</t>
  </si>
  <si>
    <t>gas generator</t>
  </si>
  <si>
    <t>velocity ratio</t>
  </si>
  <si>
    <t>spouting velocity</t>
  </si>
  <si>
    <t>gas flow</t>
  </si>
  <si>
    <t>mass flow fraction</t>
  </si>
  <si>
    <t>gg guess</t>
  </si>
  <si>
    <t>mcc mass flow</t>
  </si>
  <si>
    <t>error</t>
  </si>
  <si>
    <t>injector stiffness</t>
  </si>
  <si>
    <t>lbm/s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</si>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</sst>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7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5" xfId="0" applyBorder="1"/>
    <xf numFmtId="0" fontId="0" fillId="0" borderId="4" xfId="0" applyFont="1" applyBorder="1"/>
    <xf numFmtId="2" fontId="0" fillId="0" borderId="0" xfId="0" applyNumberFormat="1" applyBorder="1"/>
    <xf numFmtId="167" fontId="0" fillId="0" borderId="0" xfId="0" applyNumberFormat="1" applyBorder="1"/>
    <xf numFmtId="166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167" fontId="0" fillId="2" borderId="7" xfId="0" applyNumberForma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0" borderId="0" xfId="0" applyFont="1" applyBorder="1"/>
    <xf numFmtId="0" fontId="0" fillId="2" borderId="4" xfId="0" applyFill="1" applyBorder="1"/>
    <xf numFmtId="2" fontId="0" fillId="0" borderId="4" xfId="0" applyNumberFormat="1" applyBorder="1"/>
    <xf numFmtId="167" fontId="0" fillId="0" borderId="4" xfId="0" applyNumberFormat="1" applyBorder="1"/>
    <xf numFmtId="166" fontId="0" fillId="0" borderId="4" xfId="0" applyNumberFormat="1" applyBorder="1"/>
    <xf numFmtId="0" fontId="0" fillId="0" borderId="4" xfId="0" applyFont="1" applyFill="1" applyBorder="1"/>
    <xf numFmtId="166" fontId="0" fillId="0" borderId="0" xfId="0" applyNumberFormat="1" applyFont="1" applyBorder="1"/>
    <xf numFmtId="0" fontId="0" fillId="0" borderId="5" xfId="0" applyFont="1" applyBorder="1"/>
    <xf numFmtId="2" fontId="0" fillId="0" borderId="0" xfId="0" applyNumberFormat="1" applyFont="1" applyBorder="1"/>
    <xf numFmtId="167" fontId="0" fillId="0" borderId="0" xfId="0" applyNumberFormat="1" applyFont="1" applyBorder="1"/>
    <xf numFmtId="0" fontId="0" fillId="0" borderId="0" xfId="0" applyFont="1" applyFill="1" applyBorder="1"/>
    <xf numFmtId="167" fontId="0" fillId="0" borderId="0" xfId="0" applyNumberFormat="1" applyFont="1" applyBorder="1" applyAlignment="1">
      <alignment horizontal="right" vertical="center" indent="2"/>
    </xf>
    <xf numFmtId="179" fontId="0" fillId="0" borderId="0" xfId="0" applyNumberFormat="1"/>
    <xf numFmtId="1" fontId="0" fillId="0" borderId="0" xfId="0" applyNumberFormat="1"/>
    <xf numFmtId="1" fontId="0" fillId="0" borderId="0" xfId="0" applyNumberFormat="1" applyFont="1" applyBorder="1"/>
    <xf numFmtId="179" fontId="0" fillId="0" borderId="4" xfId="0" applyNumberFormat="1" applyBorder="1"/>
    <xf numFmtId="1" fontId="0" fillId="0" borderId="4" xfId="0" applyNumberFormat="1" applyBorder="1"/>
    <xf numFmtId="0" fontId="1" fillId="3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0" xfId="0" applyFill="1" applyBorder="1"/>
    <xf numFmtId="167" fontId="0" fillId="0" borderId="10" xfId="0" applyNumberFormat="1" applyBorder="1"/>
    <xf numFmtId="0" fontId="0" fillId="0" borderId="1" xfId="0" applyBorder="1"/>
    <xf numFmtId="0" fontId="0" fillId="2" borderId="2" xfId="0" applyFill="1" applyBorder="1"/>
    <xf numFmtId="2" fontId="0" fillId="0" borderId="5" xfId="0" applyNumberFormat="1" applyBorder="1"/>
    <xf numFmtId="179" fontId="0" fillId="0" borderId="7" xfId="0" applyNumberFormat="1" applyBorder="1"/>
    <xf numFmtId="179" fontId="0" fillId="0" borderId="8" xfId="0" applyNumberFormat="1" applyBorder="1"/>
    <xf numFmtId="167" fontId="0" fillId="0" borderId="4" xfId="0" applyNumberFormat="1" applyFont="1" applyBorder="1" applyAlignment="1">
      <alignment horizontal="right" vertical="center"/>
    </xf>
    <xf numFmtId="179" fontId="0" fillId="0" borderId="6" xfId="0" applyNumberFormat="1" applyBorder="1"/>
    <xf numFmtId="1" fontId="0" fillId="0" borderId="0" xfId="0" applyNumberFormat="1" applyBorder="1"/>
    <xf numFmtId="179" fontId="0" fillId="0" borderId="0" xfId="0" applyNumberFormat="1" applyBorder="1"/>
    <xf numFmtId="1" fontId="0" fillId="0" borderId="2" xfId="0" applyNumberFormat="1" applyBorder="1"/>
    <xf numFmtId="1" fontId="0" fillId="0" borderId="7" xfId="0" applyNumberFormat="1" applyBorder="1"/>
    <xf numFmtId="1" fontId="0" fillId="0" borderId="6" xfId="0" applyNumberFormat="1" applyBorder="1"/>
    <xf numFmtId="167" fontId="0" fillId="2" borderId="0" xfId="0" applyNumberFormat="1" applyFill="1" applyBorder="1"/>
    <xf numFmtId="2" fontId="0" fillId="0" borderId="0" xfId="0" applyNumberFormat="1" applyFont="1" applyFill="1" applyBorder="1"/>
    <xf numFmtId="0" fontId="0" fillId="0" borderId="5" xfId="0" applyFont="1" applyFill="1" applyBorder="1"/>
    <xf numFmtId="0" fontId="0" fillId="0" borderId="0" xfId="0" applyFill="1"/>
    <xf numFmtId="0" fontId="0" fillId="2" borderId="0" xfId="0" applyFont="1" applyFill="1" applyBorder="1"/>
    <xf numFmtId="2" fontId="0" fillId="0" borderId="4" xfId="0" applyNumberFormat="1" applyFont="1" applyFill="1" applyBorder="1"/>
    <xf numFmtId="1" fontId="0" fillId="0" borderId="10" xfId="0" applyNumberFormat="1" applyBorder="1"/>
    <xf numFmtId="1" fontId="0" fillId="2" borderId="10" xfId="0" applyNumberFormat="1" applyFill="1" applyBorder="1"/>
    <xf numFmtId="1" fontId="0" fillId="0" borderId="11" xfId="0" applyNumberFormat="1" applyBorder="1"/>
    <xf numFmtId="1" fontId="0" fillId="0" borderId="9" xfId="0" applyNumberFormat="1" applyBorder="1"/>
    <xf numFmtId="0" fontId="0" fillId="0" borderId="6" xfId="0" applyFill="1" applyBorder="1"/>
    <xf numFmtId="0" fontId="0" fillId="3" borderId="9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666750</xdr:colOff>
      <xdr:row>2</xdr:row>
      <xdr:rowOff>116988</xdr:rowOff>
    </xdr:from>
    <xdr:to>
      <xdr:col>17</xdr:col>
      <xdr:colOff>475086</xdr:colOff>
      <xdr:row>5</xdr:row>
      <xdr:rowOff>167719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5EF06-3A9C-435B-B108-2858525CB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5950" y="482748"/>
          <a:ext cx="5485236" cy="599371"/>
        </a:xfrm>
        <a:prstGeom prst="rect">
          <a:avLst/>
        </a:prstGeom>
      </xdr:spPr>
    </xdr:pic>
    <xdr:clientData/>
  </xdr:twoCellAnchor>
  <xdr:twoCellAnchor editAs="oneCell">
    <xdr:from>
      <xdr:col>11</xdr:col>
      <xdr:colOff>1112520</xdr:colOff>
      <xdr:row>8</xdr:row>
      <xdr:rowOff>66868</xdr:rowOff>
    </xdr:from>
    <xdr:to>
      <xdr:col>16</xdr:col>
      <xdr:colOff>1105605</xdr:colOff>
      <xdr:row>22</xdr:row>
      <xdr:rowOff>135583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DF170B-EA53-496E-B187-327BA9EEB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6340" y="1529908"/>
          <a:ext cx="5669985" cy="2629035"/>
        </a:xfrm>
        <a:prstGeom prst="rect">
          <a:avLst/>
        </a:prstGeom>
        <a:ln w="38100">
          <a:solidFill>
            <a:srgbClr val="0070C0"/>
          </a:solidFill>
        </a:ln>
      </xdr:spPr>
    </xdr:pic>
    <xdr:clientData/>
  </xdr:twoCellAnchor>
  <xdr:twoCellAnchor editAs="oneCell">
    <xdr:from>
      <xdr:col>16</xdr:col>
      <xdr:colOff>83820</xdr:colOff>
      <xdr:row>24</xdr:row>
      <xdr:rowOff>124767</xdr:rowOff>
    </xdr:from>
    <xdr:to>
      <xdr:col>21</xdr:col>
      <xdr:colOff>856098</xdr:colOff>
      <xdr:row>32</xdr:row>
      <xdr:rowOff>167816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DEAC50-197C-4ACA-8368-CFFF25C0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64540" y="4513887"/>
          <a:ext cx="6449178" cy="1506089"/>
        </a:xfrm>
        <a:prstGeom prst="rect">
          <a:avLst/>
        </a:prstGeom>
        <a:ln w="38100">
          <a:solidFill>
            <a:srgbClr val="0070C0"/>
          </a:solidFill>
        </a:ln>
      </xdr:spPr>
    </xdr:pic>
    <xdr:clientData/>
  </xdr:twoCellAnchor>
  <xdr:twoCellAnchor editAs="oneCell">
    <xdr:from>
      <xdr:col>12</xdr:col>
      <xdr:colOff>205740</xdr:colOff>
      <xdr:row>39</xdr:row>
      <xdr:rowOff>31648</xdr:rowOff>
    </xdr:from>
    <xdr:to>
      <xdr:col>17</xdr:col>
      <xdr:colOff>206645</xdr:colOff>
      <xdr:row>56</xdr:row>
      <xdr:rowOff>23355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371218-DBA5-4D96-9D5F-008FAE9D9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4940" y="7163968"/>
          <a:ext cx="5677805" cy="310066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</xdr:colOff>
          <xdr:row>6</xdr:row>
          <xdr:rowOff>129540</xdr:rowOff>
        </xdr:from>
        <xdr:to>
          <xdr:col>9</xdr:col>
          <xdr:colOff>800099</xdr:colOff>
          <xdr:row>8</xdr:row>
          <xdr:rowOff>57150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13E8EB3-E428-4D55-89FF-7FBD09A1B5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Balance Mass Flow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11</xdr:col>
      <xdr:colOff>832484</xdr:colOff>
      <xdr:row>24</xdr:row>
      <xdr:rowOff>159761</xdr:rowOff>
    </xdr:from>
    <xdr:to>
      <xdr:col>15</xdr:col>
      <xdr:colOff>935887</xdr:colOff>
      <xdr:row>37</xdr:row>
      <xdr:rowOff>76458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C3D8A3-9D2F-430C-AC39-68699635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6304" y="4548881"/>
          <a:ext cx="4644923" cy="2294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666750</xdr:colOff>
      <xdr:row>2</xdr:row>
      <xdr:rowOff>116988</xdr:rowOff>
    </xdr:from>
    <xdr:to>
      <xdr:col>17</xdr:col>
      <xdr:colOff>475086</xdr:colOff>
      <xdr:row>5</xdr:row>
      <xdr:rowOff>167719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194A0-23E7-0734-4392-5DC42C2D1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478938"/>
          <a:ext cx="5487141" cy="593656"/>
        </a:xfrm>
        <a:prstGeom prst="rect">
          <a:avLst/>
        </a:prstGeom>
      </xdr:spPr>
    </xdr:pic>
    <xdr:clientData/>
  </xdr:twoCellAnchor>
  <xdr:twoCellAnchor editAs="oneCell">
    <xdr:from>
      <xdr:col>11</xdr:col>
      <xdr:colOff>1112520</xdr:colOff>
      <xdr:row>8</xdr:row>
      <xdr:rowOff>66868</xdr:rowOff>
    </xdr:from>
    <xdr:to>
      <xdr:col>16</xdr:col>
      <xdr:colOff>1105605</xdr:colOff>
      <xdr:row>22</xdr:row>
      <xdr:rowOff>135583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61325-6D04-DB07-4A1D-EF17E9EF6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0960" y="1529908"/>
          <a:ext cx="5669985" cy="2638560"/>
        </a:xfrm>
        <a:prstGeom prst="rect">
          <a:avLst/>
        </a:prstGeom>
        <a:ln w="38100">
          <a:solidFill>
            <a:srgbClr val="0070C0"/>
          </a:solidFill>
        </a:ln>
      </xdr:spPr>
    </xdr:pic>
    <xdr:clientData/>
  </xdr:twoCellAnchor>
  <xdr:twoCellAnchor editAs="oneCell">
    <xdr:from>
      <xdr:col>16</xdr:col>
      <xdr:colOff>83820</xdr:colOff>
      <xdr:row>24</xdr:row>
      <xdr:rowOff>124767</xdr:rowOff>
    </xdr:from>
    <xdr:to>
      <xdr:col>21</xdr:col>
      <xdr:colOff>856098</xdr:colOff>
      <xdr:row>32</xdr:row>
      <xdr:rowOff>167816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C9A4CF-C954-D470-C5BD-2E424050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56920" y="4287192"/>
          <a:ext cx="6443463" cy="1494659"/>
        </a:xfrm>
        <a:prstGeom prst="rect">
          <a:avLst/>
        </a:prstGeom>
        <a:ln w="38100">
          <a:solidFill>
            <a:srgbClr val="0070C0"/>
          </a:solidFill>
        </a:ln>
      </xdr:spPr>
    </xdr:pic>
    <xdr:clientData/>
  </xdr:twoCellAnchor>
  <xdr:twoCellAnchor editAs="oneCell">
    <xdr:from>
      <xdr:col>0</xdr:col>
      <xdr:colOff>365760</xdr:colOff>
      <xdr:row>41</xdr:row>
      <xdr:rowOff>24028</xdr:rowOff>
    </xdr:from>
    <xdr:to>
      <xdr:col>8</xdr:col>
      <xdr:colOff>16145</xdr:colOff>
      <xdr:row>58</xdr:row>
      <xdr:rowOff>15735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FC7C14-3E5B-EA0A-71FC-7A6FC020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" y="7156348"/>
          <a:ext cx="5677805" cy="310828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</xdr:colOff>
          <xdr:row>6</xdr:row>
          <xdr:rowOff>129540</xdr:rowOff>
        </xdr:from>
        <xdr:to>
          <xdr:col>9</xdr:col>
          <xdr:colOff>800099</xdr:colOff>
          <xdr:row>8</xdr:row>
          <xdr:rowOff>57150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Balance Mass Flow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11</xdr:col>
      <xdr:colOff>832484</xdr:colOff>
      <xdr:row>24</xdr:row>
      <xdr:rowOff>159761</xdr:rowOff>
    </xdr:from>
    <xdr:to>
      <xdr:col>15</xdr:col>
      <xdr:colOff>935887</xdr:colOff>
      <xdr:row>37</xdr:row>
      <xdr:rowOff>76458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57DF52-B20A-1554-D532-02180186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8209" y="4322186"/>
          <a:ext cx="4644923" cy="2269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84250</xdr:colOff>
      <xdr:row>30</xdr:row>
      <xdr:rowOff>69046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248F0-06F2-49A9-4BA5-32F41A31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82880"/>
          <a:ext cx="4961050" cy="5372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AAA2-A0AD-4FFE-B995-FDD195E75235}">
  <sheetPr codeName="Sheet3"/>
  <dimension ref="B2:K42"/>
  <sheetViews>
    <sheetView showGridLines="0" tabSelected="1" topLeftCell="A9" workbookViewId="0">
      <selection activeCell="L6" sqref="L6"/>
    </sheetView>
  </sheetViews>
  <sheetFormatPr defaultColWidth="16.5546875" defaultRowHeight="14.4" x14ac:dyDescent="0.3"/>
  <cols>
    <col min="1" max="1" width="9.33203125" customWidth="1"/>
    <col min="2" max="2" width="20.5546875" customWidth="1"/>
    <col min="3" max="3" width="11.6640625" customWidth="1"/>
    <col min="4" max="4" width="10.44140625" customWidth="1"/>
    <col min="5" max="5" width="10.77734375" customWidth="1"/>
    <col min="6" max="6" width="6.33203125" customWidth="1"/>
    <col min="7" max="7" width="2.21875" customWidth="1"/>
    <col min="9" max="9" width="6.88671875" customWidth="1"/>
    <col min="10" max="10" width="11.6640625" customWidth="1"/>
    <col min="11" max="11" width="5.88671875" customWidth="1"/>
  </cols>
  <sheetData>
    <row r="2" spans="2:11" x14ac:dyDescent="0.3">
      <c r="B2" s="19" t="s">
        <v>0</v>
      </c>
      <c r="C2" s="63">
        <f>E2*2*3.1416/60</f>
        <v>2007.69184</v>
      </c>
      <c r="D2" s="63" t="s">
        <v>2</v>
      </c>
      <c r="E2" s="64">
        <v>19172</v>
      </c>
      <c r="F2" s="65" t="s">
        <v>1</v>
      </c>
      <c r="G2" s="36"/>
      <c r="H2" s="66">
        <f>J2*2*3.1416/60</f>
        <v>2525.1133600000003</v>
      </c>
      <c r="I2" s="63" t="s">
        <v>2</v>
      </c>
      <c r="J2" s="64">
        <v>24113</v>
      </c>
      <c r="K2" s="22" t="s">
        <v>1</v>
      </c>
    </row>
    <row r="4" spans="2:11" x14ac:dyDescent="0.3">
      <c r="B4" s="16" t="s">
        <v>14</v>
      </c>
      <c r="C4" s="17"/>
      <c r="D4" s="17"/>
      <c r="E4" s="17"/>
      <c r="F4" s="18"/>
    </row>
    <row r="5" spans="2:11" x14ac:dyDescent="0.3">
      <c r="B5" s="45" t="s">
        <v>15</v>
      </c>
      <c r="C5" s="2">
        <f>E5*4.4482</f>
        <v>0</v>
      </c>
      <c r="D5" s="2" t="s">
        <v>17</v>
      </c>
      <c r="E5" s="46"/>
      <c r="F5" s="3" t="s">
        <v>16</v>
      </c>
    </row>
    <row r="6" spans="2:11" x14ac:dyDescent="0.3">
      <c r="B6" s="4" t="s">
        <v>18</v>
      </c>
      <c r="C6" s="5">
        <f>E6*100000</f>
        <v>0</v>
      </c>
      <c r="D6" s="5" t="s">
        <v>7</v>
      </c>
      <c r="E6" s="6"/>
      <c r="F6" s="7" t="s">
        <v>4</v>
      </c>
    </row>
    <row r="7" spans="2:11" x14ac:dyDescent="0.3">
      <c r="B7" s="4" t="s">
        <v>19</v>
      </c>
      <c r="C7" s="6"/>
      <c r="D7" s="5" t="s">
        <v>20</v>
      </c>
      <c r="E7" s="5"/>
      <c r="F7" s="7"/>
    </row>
    <row r="8" spans="2:11" x14ac:dyDescent="0.3">
      <c r="B8" s="4" t="s">
        <v>21</v>
      </c>
      <c r="C8" s="6"/>
      <c r="D8" s="5"/>
      <c r="E8" s="5"/>
      <c r="F8" s="7"/>
    </row>
    <row r="9" spans="2:11" x14ac:dyDescent="0.3">
      <c r="B9" s="4" t="s">
        <v>49</v>
      </c>
      <c r="C9" s="10"/>
      <c r="D9" s="5" t="s">
        <v>13</v>
      </c>
      <c r="E9" s="5"/>
      <c r="F9" s="7"/>
    </row>
    <row r="10" spans="2:11" x14ac:dyDescent="0.3">
      <c r="B10" s="4" t="s">
        <v>48</v>
      </c>
      <c r="C10" s="10">
        <v>209.61470363804023</v>
      </c>
      <c r="D10" s="43" t="s">
        <v>13</v>
      </c>
      <c r="E10" s="5"/>
      <c r="F10" s="7"/>
      <c r="H10" s="19" t="s">
        <v>50</v>
      </c>
      <c r="I10" s="44">
        <f>C10-C36</f>
        <v>0</v>
      </c>
      <c r="J10" s="22" t="s">
        <v>13</v>
      </c>
    </row>
    <row r="11" spans="2:11" x14ac:dyDescent="0.3">
      <c r="B11" s="4" t="s">
        <v>22</v>
      </c>
      <c r="C11" s="57"/>
      <c r="D11" s="5"/>
      <c r="E11" s="5"/>
      <c r="F11" s="7"/>
    </row>
    <row r="12" spans="2:11" x14ac:dyDescent="0.3">
      <c r="B12" s="67" t="s">
        <v>51</v>
      </c>
      <c r="C12" s="15"/>
      <c r="D12" s="12"/>
      <c r="E12" s="12"/>
      <c r="F12" s="13"/>
    </row>
    <row r="14" spans="2:11" x14ac:dyDescent="0.3">
      <c r="B14" s="16" t="s">
        <v>5</v>
      </c>
      <c r="C14" s="17"/>
      <c r="D14" s="17"/>
      <c r="E14" s="17"/>
      <c r="F14" s="18"/>
      <c r="H14" s="16" t="s">
        <v>27</v>
      </c>
      <c r="I14" s="17"/>
      <c r="J14" s="17"/>
      <c r="K14" s="18"/>
    </row>
    <row r="15" spans="2:11" x14ac:dyDescent="0.3">
      <c r="B15" s="45" t="s">
        <v>8</v>
      </c>
      <c r="C15" s="2">
        <f>E15*100000</f>
        <v>650000</v>
      </c>
      <c r="D15" s="2" t="s">
        <v>7</v>
      </c>
      <c r="E15" s="46">
        <v>6.5</v>
      </c>
      <c r="F15" s="3" t="s">
        <v>4</v>
      </c>
      <c r="H15" s="45">
        <f>J15*100000</f>
        <v>450000</v>
      </c>
      <c r="I15" s="2" t="s">
        <v>7</v>
      </c>
      <c r="J15" s="46">
        <v>4.5</v>
      </c>
      <c r="K15" s="3" t="s">
        <v>4</v>
      </c>
    </row>
    <row r="16" spans="2:11" x14ac:dyDescent="0.3">
      <c r="B16" s="4" t="s">
        <v>6</v>
      </c>
      <c r="C16" s="5">
        <f>E16*100000</f>
        <v>32000000</v>
      </c>
      <c r="D16" s="5" t="s">
        <v>7</v>
      </c>
      <c r="E16" s="6">
        <v>320</v>
      </c>
      <c r="F16" s="7" t="s">
        <v>4</v>
      </c>
      <c r="H16" s="4">
        <f>J16*100000</f>
        <v>25200000</v>
      </c>
      <c r="I16" s="5" t="s">
        <v>7</v>
      </c>
      <c r="J16" s="6">
        <v>252</v>
      </c>
      <c r="K16" s="7" t="s">
        <v>4</v>
      </c>
    </row>
    <row r="17" spans="2:11" x14ac:dyDescent="0.3">
      <c r="B17" s="4" t="s">
        <v>9</v>
      </c>
      <c r="C17" s="6">
        <v>1141</v>
      </c>
      <c r="D17" s="5" t="s">
        <v>10</v>
      </c>
      <c r="E17" s="5"/>
      <c r="F17" s="7"/>
      <c r="H17" s="24">
        <v>500</v>
      </c>
      <c r="I17" s="5" t="s">
        <v>10</v>
      </c>
      <c r="J17" s="5"/>
      <c r="K17" s="7"/>
    </row>
    <row r="18" spans="2:11" x14ac:dyDescent="0.3">
      <c r="B18" s="8" t="s">
        <v>3</v>
      </c>
      <c r="C18" s="37">
        <f>(C16-C15)/(C17*9.81)</f>
        <v>2800.8051309677917</v>
      </c>
      <c r="D18" s="23" t="s">
        <v>11</v>
      </c>
      <c r="E18" s="23"/>
      <c r="F18" s="30"/>
      <c r="H18" s="39">
        <f>(H16-H15)/(H17*9.81)</f>
        <v>5045.8715596330276</v>
      </c>
      <c r="I18" s="5" t="s">
        <v>11</v>
      </c>
      <c r="J18" s="5"/>
      <c r="K18" s="7"/>
    </row>
    <row r="19" spans="2:11" x14ac:dyDescent="0.3">
      <c r="B19" s="8" t="s">
        <v>12</v>
      </c>
      <c r="C19" s="58">
        <f>E19*0.453592</f>
        <v>306.44675519999998</v>
      </c>
      <c r="D19" s="33" t="s">
        <v>13</v>
      </c>
      <c r="E19" s="61">
        <v>675.6</v>
      </c>
      <c r="F19" s="59" t="s">
        <v>52</v>
      </c>
      <c r="G19" s="60"/>
      <c r="H19" s="62">
        <f>J19*0.453592</f>
        <v>112.65864504</v>
      </c>
      <c r="I19" s="23" t="s">
        <v>13</v>
      </c>
      <c r="J19" s="61">
        <v>248.37</v>
      </c>
      <c r="K19" s="30" t="s">
        <v>52</v>
      </c>
    </row>
    <row r="20" spans="2:11" x14ac:dyDescent="0.3">
      <c r="B20" s="8" t="s">
        <v>23</v>
      </c>
      <c r="C20" s="29">
        <f>C19/C17</f>
        <v>0.26857734899211216</v>
      </c>
      <c r="D20" s="23" t="s">
        <v>24</v>
      </c>
      <c r="E20" s="23"/>
      <c r="F20" s="30"/>
      <c r="H20" s="27">
        <f>H19/H17</f>
        <v>0.22531729007999998</v>
      </c>
      <c r="I20" s="5" t="s">
        <v>24</v>
      </c>
      <c r="J20" s="5"/>
      <c r="K20" s="7"/>
    </row>
    <row r="21" spans="2:11" x14ac:dyDescent="0.3">
      <c r="B21" s="8" t="s">
        <v>25</v>
      </c>
      <c r="C21" s="32">
        <f>C2*C20^0.5/(9.81*C18)^0.75</f>
        <v>0.48754849447023685</v>
      </c>
      <c r="D21" s="23"/>
      <c r="E21" s="37">
        <f>C21*2730</f>
        <v>1331.0073899037466</v>
      </c>
      <c r="F21" s="30" t="s">
        <v>26</v>
      </c>
      <c r="H21" s="26">
        <f>H2*H20^0.5/(9.81*H18)^0.75</f>
        <v>0.36118045446790403</v>
      </c>
      <c r="I21" s="5"/>
      <c r="J21" s="52">
        <f>H21*2730</f>
        <v>986.02264069737805</v>
      </c>
      <c r="K21" s="7" t="s">
        <v>26</v>
      </c>
    </row>
    <row r="22" spans="2:11" x14ac:dyDescent="0.3">
      <c r="B22" s="28" t="s">
        <v>28</v>
      </c>
      <c r="C22" s="34">
        <f>0.605*EXP(-0.408*C21)</f>
        <v>0.49586745951058636</v>
      </c>
      <c r="D22" s="23"/>
      <c r="E22" s="31"/>
      <c r="F22" s="30"/>
      <c r="G22" s="5"/>
      <c r="H22" s="50">
        <f>0.605*EXP(-0.408*H21)</f>
        <v>0.52210401610859192</v>
      </c>
      <c r="I22" s="5"/>
      <c r="J22" s="5"/>
      <c r="K22" s="7"/>
    </row>
    <row r="23" spans="2:11" x14ac:dyDescent="0.3">
      <c r="B23" s="8"/>
      <c r="C23" s="23"/>
      <c r="D23" s="23"/>
      <c r="E23" s="23"/>
      <c r="F23" s="30"/>
      <c r="H23" s="4"/>
      <c r="I23" s="5"/>
      <c r="J23" s="5"/>
      <c r="K23" s="7"/>
    </row>
    <row r="24" spans="2:11" x14ac:dyDescent="0.3">
      <c r="B24" s="28" t="s">
        <v>29</v>
      </c>
      <c r="C24" s="11">
        <f>2/C2*SQRT(9.81*C18/C22)</f>
        <v>0.23449095074805229</v>
      </c>
      <c r="D24" s="11" t="s">
        <v>11</v>
      </c>
      <c r="E24" s="9">
        <f>C24/25.4*1000</f>
        <v>9.2319271948052091</v>
      </c>
      <c r="F24" s="47" t="s">
        <v>30</v>
      </c>
      <c r="G24" s="1"/>
      <c r="H24" s="25">
        <f>2/C2*SQRT(9.81*H18/H22)</f>
        <v>0.30673054362331076</v>
      </c>
      <c r="I24" s="9" t="s">
        <v>11</v>
      </c>
      <c r="J24" s="9">
        <f>H24/25.4*1000</f>
        <v>12.076005654461055</v>
      </c>
      <c r="K24" s="47" t="s">
        <v>30</v>
      </c>
    </row>
    <row r="25" spans="2:11" x14ac:dyDescent="0.3">
      <c r="B25" s="4"/>
      <c r="C25" s="5"/>
      <c r="D25" s="5"/>
      <c r="E25" s="5"/>
      <c r="F25" s="7"/>
      <c r="H25" s="4"/>
      <c r="I25" s="5"/>
      <c r="J25" s="5"/>
      <c r="K25" s="7"/>
    </row>
    <row r="26" spans="2:11" x14ac:dyDescent="0.3">
      <c r="B26" s="4" t="s">
        <v>31</v>
      </c>
      <c r="C26" s="6">
        <v>0.7</v>
      </c>
      <c r="D26" s="5"/>
      <c r="E26" s="5"/>
      <c r="F26" s="7"/>
      <c r="H26" s="24">
        <v>0.45</v>
      </c>
      <c r="I26" s="5"/>
      <c r="J26" s="5"/>
      <c r="K26" s="7"/>
    </row>
    <row r="27" spans="2:11" x14ac:dyDescent="0.3">
      <c r="B27" s="14" t="s">
        <v>36</v>
      </c>
      <c r="C27" s="55">
        <f>C17*9.81*C18*C20/C26</f>
        <v>12028428.415575311</v>
      </c>
      <c r="D27" s="48" t="s">
        <v>37</v>
      </c>
      <c r="E27" s="55">
        <f>C27/745.7</f>
        <v>16130.385430569009</v>
      </c>
      <c r="F27" s="13" t="s">
        <v>53</v>
      </c>
      <c r="G27" s="35"/>
      <c r="H27" s="56">
        <f>H17*9.81*H18*H20/H26</f>
        <v>12392450.954399999</v>
      </c>
      <c r="I27" s="48" t="s">
        <v>37</v>
      </c>
      <c r="J27" s="55">
        <f>H27/745.7</f>
        <v>16618.547612176477</v>
      </c>
      <c r="K27" s="13" t="s">
        <v>53</v>
      </c>
    </row>
    <row r="29" spans="2:11" x14ac:dyDescent="0.3">
      <c r="B29" s="40" t="s">
        <v>32</v>
      </c>
      <c r="C29" s="41"/>
      <c r="D29" s="41"/>
      <c r="E29" s="41"/>
      <c r="F29" s="42"/>
      <c r="H29" s="68"/>
      <c r="I29" s="41"/>
      <c r="J29" s="41"/>
      <c r="K29" s="42"/>
    </row>
    <row r="30" spans="2:11" x14ac:dyDescent="0.3">
      <c r="B30" s="45" t="s">
        <v>34</v>
      </c>
      <c r="C30" s="54">
        <f>C27+H27</f>
        <v>24420879.36997531</v>
      </c>
      <c r="D30" s="2" t="s">
        <v>37</v>
      </c>
      <c r="E30" s="54">
        <f>C30/745.7</f>
        <v>32748.933042745484</v>
      </c>
      <c r="F30" s="3" t="s">
        <v>53</v>
      </c>
      <c r="H30" s="69">
        <f>H27+M27</f>
        <v>12392450.954399999</v>
      </c>
      <c r="I30" s="2" t="s">
        <v>37</v>
      </c>
      <c r="J30" s="54">
        <f>H30/745.7</f>
        <v>16618.547612176477</v>
      </c>
      <c r="K30" s="3" t="s">
        <v>53</v>
      </c>
    </row>
    <row r="31" spans="2:11" x14ac:dyDescent="0.3">
      <c r="B31" s="4" t="s">
        <v>33</v>
      </c>
      <c r="C31" s="6">
        <v>0.7</v>
      </c>
      <c r="D31" s="5"/>
      <c r="E31" s="5"/>
      <c r="F31" s="7"/>
      <c r="H31" s="24">
        <v>0.7</v>
      </c>
      <c r="I31" s="5"/>
      <c r="J31" s="5"/>
      <c r="K31" s="7"/>
    </row>
    <row r="32" spans="2:11" x14ac:dyDescent="0.3">
      <c r="B32" s="4" t="s">
        <v>35</v>
      </c>
      <c r="C32" s="52">
        <f>C30/C31</f>
        <v>34886970.528536156</v>
      </c>
      <c r="D32" s="5" t="s">
        <v>37</v>
      </c>
      <c r="E32" s="5"/>
      <c r="F32" s="7"/>
      <c r="H32" s="39">
        <f>H30/H31</f>
        <v>17703501.36342857</v>
      </c>
      <c r="I32" s="5" t="s">
        <v>37</v>
      </c>
      <c r="J32" s="5"/>
      <c r="K32" s="7"/>
    </row>
    <row r="33" spans="2:11" x14ac:dyDescent="0.3">
      <c r="B33" s="4" t="s">
        <v>39</v>
      </c>
      <c r="C33" s="53">
        <f>C32/C2</f>
        <v>17376.656035288841</v>
      </c>
      <c r="D33" s="5" t="s">
        <v>40</v>
      </c>
      <c r="E33" s="5"/>
      <c r="F33" s="7"/>
      <c r="H33" s="38">
        <f>H32/H2</f>
        <v>7010.9729107086778</v>
      </c>
      <c r="I33" s="5" t="s">
        <v>40</v>
      </c>
      <c r="J33" s="5"/>
      <c r="K33" s="7"/>
    </row>
    <row r="34" spans="2:11" x14ac:dyDescent="0.3">
      <c r="B34" s="4" t="s">
        <v>41</v>
      </c>
      <c r="C34" s="10">
        <f>E34*25.4/1000</f>
        <v>0.20319999999999999</v>
      </c>
      <c r="D34" s="5" t="s">
        <v>11</v>
      </c>
      <c r="E34" s="6">
        <v>8</v>
      </c>
      <c r="F34" s="7" t="s">
        <v>30</v>
      </c>
      <c r="H34" s="26">
        <f>J34*25.4/1000</f>
        <v>0.20319999999999999</v>
      </c>
      <c r="I34" s="5" t="s">
        <v>11</v>
      </c>
      <c r="J34" s="6">
        <v>8</v>
      </c>
      <c r="K34" s="7" t="s">
        <v>30</v>
      </c>
    </row>
    <row r="35" spans="2:11" x14ac:dyDescent="0.3">
      <c r="B35" s="4" t="s">
        <v>42</v>
      </c>
      <c r="C35" s="53">
        <f>C34*C2</f>
        <v>407.962981888</v>
      </c>
      <c r="D35" s="5" t="s">
        <v>20</v>
      </c>
      <c r="E35" s="5"/>
      <c r="F35" s="7"/>
      <c r="H35" s="38">
        <f>H34*H2</f>
        <v>513.10303475199999</v>
      </c>
      <c r="I35" s="5" t="s">
        <v>20</v>
      </c>
      <c r="J35" s="5"/>
      <c r="K35" s="7"/>
    </row>
    <row r="36" spans="2:11" x14ac:dyDescent="0.3">
      <c r="B36" s="4" t="s">
        <v>46</v>
      </c>
      <c r="C36" s="10">
        <f>C33/C34/C35</f>
        <v>209.61470363804023</v>
      </c>
      <c r="D36" s="5" t="s">
        <v>13</v>
      </c>
      <c r="E36" s="5"/>
      <c r="F36" s="7"/>
      <c r="H36" s="26">
        <f>H33/H34/H35</f>
        <v>67.243452300258454</v>
      </c>
      <c r="I36" s="5" t="s">
        <v>13</v>
      </c>
      <c r="J36" s="5"/>
      <c r="K36" s="7"/>
    </row>
    <row r="37" spans="2:11" x14ac:dyDescent="0.3">
      <c r="B37" s="4"/>
      <c r="C37" s="5"/>
      <c r="D37" s="5"/>
      <c r="E37" s="5"/>
      <c r="F37" s="7"/>
      <c r="H37" s="4"/>
      <c r="I37" s="5"/>
      <c r="J37" s="5"/>
      <c r="K37" s="7"/>
    </row>
    <row r="38" spans="2:11" x14ac:dyDescent="0.3">
      <c r="B38" s="4" t="s">
        <v>44</v>
      </c>
      <c r="C38" s="6">
        <v>0.41</v>
      </c>
      <c r="D38" s="5"/>
      <c r="E38" s="5"/>
      <c r="F38" s="7"/>
      <c r="H38" s="24">
        <v>0.41</v>
      </c>
      <c r="I38" s="5"/>
      <c r="J38" s="5"/>
      <c r="K38" s="7"/>
    </row>
    <row r="39" spans="2:11" x14ac:dyDescent="0.3">
      <c r="B39" s="14" t="s">
        <v>45</v>
      </c>
      <c r="C39" s="48">
        <f>C35/C38</f>
        <v>995.03166314146347</v>
      </c>
      <c r="D39" s="12" t="s">
        <v>20</v>
      </c>
      <c r="E39" s="12"/>
      <c r="F39" s="13"/>
      <c r="H39" s="51">
        <f>H35/H38</f>
        <v>1251.4708164682927</v>
      </c>
      <c r="I39" s="12" t="s">
        <v>20</v>
      </c>
      <c r="J39" s="12"/>
      <c r="K39" s="13"/>
    </row>
    <row r="41" spans="2:11" x14ac:dyDescent="0.3">
      <c r="B41" s="40" t="s">
        <v>43</v>
      </c>
      <c r="C41" s="41"/>
      <c r="D41" s="41"/>
      <c r="E41" s="42"/>
    </row>
    <row r="42" spans="2:11" x14ac:dyDescent="0.3">
      <c r="B42" t="s">
        <v>47</v>
      </c>
      <c r="C42">
        <f>C36/(C36+C9)</f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GoalSeek">
                <anchor moveWithCells="1" sizeWithCells="1">
                  <from>
                    <xdr:col>7</xdr:col>
                    <xdr:colOff>0</xdr:colOff>
                    <xdr:row>6</xdr:row>
                    <xdr:rowOff>129540</xdr:rowOff>
                  </from>
                  <to>
                    <xdr:col>9</xdr:col>
                    <xdr:colOff>800100</xdr:colOff>
                    <xdr:row>8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39"/>
  <sheetViews>
    <sheetView showGridLines="0" topLeftCell="A9" workbookViewId="0">
      <selection activeCell="C21" sqref="C21"/>
    </sheetView>
  </sheetViews>
  <sheetFormatPr defaultColWidth="16.5546875" defaultRowHeight="14.4" x14ac:dyDescent="0.3"/>
  <cols>
    <col min="1" max="1" width="9.33203125" customWidth="1"/>
    <col min="2" max="2" width="20.5546875" customWidth="1"/>
    <col min="3" max="3" width="11.6640625" customWidth="1"/>
    <col min="4" max="4" width="10.44140625" customWidth="1"/>
    <col min="5" max="5" width="10.77734375" customWidth="1"/>
    <col min="6" max="6" width="6.33203125" customWidth="1"/>
    <col min="7" max="7" width="2.21875" customWidth="1"/>
    <col min="9" max="9" width="6.88671875" customWidth="1"/>
    <col min="10" max="10" width="11.6640625" customWidth="1"/>
    <col min="11" max="11" width="5.88671875" customWidth="1"/>
  </cols>
  <sheetData>
    <row r="2" spans="2:11" x14ac:dyDescent="0.3">
      <c r="B2" s="19" t="s">
        <v>0</v>
      </c>
      <c r="C2" s="20">
        <f>E2*2*3.1416/60</f>
        <v>3141.6</v>
      </c>
      <c r="D2" s="20" t="s">
        <v>2</v>
      </c>
      <c r="E2" s="21">
        <v>30000</v>
      </c>
      <c r="F2" s="22" t="s">
        <v>1</v>
      </c>
    </row>
    <row r="4" spans="2:11" x14ac:dyDescent="0.3">
      <c r="B4" s="16" t="s">
        <v>14</v>
      </c>
      <c r="C4" s="17"/>
      <c r="D4" s="17"/>
      <c r="E4" s="17"/>
      <c r="F4" s="18"/>
    </row>
    <row r="5" spans="2:11" x14ac:dyDescent="0.3">
      <c r="B5" s="45" t="s">
        <v>15</v>
      </c>
      <c r="C5" s="2">
        <f>E5*4.4482</f>
        <v>983052.2</v>
      </c>
      <c r="D5" s="2" t="s">
        <v>17</v>
      </c>
      <c r="E5" s="46">
        <v>221000</v>
      </c>
      <c r="F5" s="3" t="s">
        <v>16</v>
      </c>
    </row>
    <row r="6" spans="2:11" x14ac:dyDescent="0.3">
      <c r="B6" s="4" t="s">
        <v>18</v>
      </c>
      <c r="C6" s="5">
        <f>E6*100000</f>
        <v>9700000</v>
      </c>
      <c r="D6" s="5" t="s">
        <v>7</v>
      </c>
      <c r="E6" s="6">
        <v>97</v>
      </c>
      <c r="F6" s="7" t="s">
        <v>4</v>
      </c>
    </row>
    <row r="7" spans="2:11" x14ac:dyDescent="0.3">
      <c r="B7" s="4" t="s">
        <v>19</v>
      </c>
      <c r="C7" s="6">
        <v>1700</v>
      </c>
      <c r="D7" s="5" t="s">
        <v>20</v>
      </c>
      <c r="E7" s="5"/>
      <c r="F7" s="7"/>
    </row>
    <row r="8" spans="2:11" x14ac:dyDescent="0.3">
      <c r="B8" s="4" t="s">
        <v>21</v>
      </c>
      <c r="C8" s="6">
        <v>1.7</v>
      </c>
      <c r="D8" s="5"/>
      <c r="E8" s="5"/>
      <c r="F8" s="7"/>
    </row>
    <row r="9" spans="2:11" x14ac:dyDescent="0.3">
      <c r="B9" s="4" t="s">
        <v>49</v>
      </c>
      <c r="C9" s="10">
        <f>C5/C8/C7</f>
        <v>340.15647058823532</v>
      </c>
      <c r="D9" s="5" t="s">
        <v>13</v>
      </c>
      <c r="E9" s="5"/>
      <c r="F9" s="7"/>
    </row>
    <row r="10" spans="2:11" x14ac:dyDescent="0.3">
      <c r="B10" s="4" t="s">
        <v>48</v>
      </c>
      <c r="C10" s="10">
        <v>28.792709956252153</v>
      </c>
      <c r="D10" s="43" t="s">
        <v>13</v>
      </c>
      <c r="E10" s="5"/>
      <c r="F10" s="7"/>
      <c r="H10" s="19" t="s">
        <v>50</v>
      </c>
      <c r="I10" s="44">
        <f>C10-C36</f>
        <v>0</v>
      </c>
      <c r="J10" s="22" t="s">
        <v>13</v>
      </c>
    </row>
    <row r="11" spans="2:11" x14ac:dyDescent="0.3">
      <c r="B11" s="4" t="s">
        <v>22</v>
      </c>
      <c r="C11" s="57">
        <v>2.5</v>
      </c>
      <c r="D11" s="5"/>
      <c r="E11" s="5"/>
      <c r="F11" s="7"/>
    </row>
    <row r="12" spans="2:11" x14ac:dyDescent="0.3">
      <c r="B12" s="67" t="s">
        <v>51</v>
      </c>
      <c r="C12" s="15">
        <v>1.2</v>
      </c>
      <c r="D12" s="12"/>
      <c r="E12" s="12"/>
      <c r="F12" s="13"/>
    </row>
    <row r="14" spans="2:11" x14ac:dyDescent="0.3">
      <c r="B14" s="16" t="s">
        <v>5</v>
      </c>
      <c r="C14" s="17"/>
      <c r="D14" s="17"/>
      <c r="E14" s="17"/>
      <c r="F14" s="18"/>
      <c r="H14" s="16" t="s">
        <v>27</v>
      </c>
      <c r="I14" s="17"/>
      <c r="J14" s="17"/>
      <c r="K14" s="18"/>
    </row>
    <row r="15" spans="2:11" x14ac:dyDescent="0.3">
      <c r="B15" s="45" t="s">
        <v>8</v>
      </c>
      <c r="C15" s="2">
        <f>E15*100000</f>
        <v>500000</v>
      </c>
      <c r="D15" s="2" t="s">
        <v>7</v>
      </c>
      <c r="E15" s="46">
        <v>5</v>
      </c>
      <c r="F15" s="3" t="s">
        <v>4</v>
      </c>
      <c r="H15" s="45">
        <f>J15*100000</f>
        <v>500000</v>
      </c>
      <c r="I15" s="2" t="s">
        <v>7</v>
      </c>
      <c r="J15" s="46">
        <v>5</v>
      </c>
      <c r="K15" s="3" t="s">
        <v>4</v>
      </c>
    </row>
    <row r="16" spans="2:11" x14ac:dyDescent="0.3">
      <c r="B16" s="4" t="s">
        <v>6</v>
      </c>
      <c r="C16" s="5">
        <f>E16*100000</f>
        <v>11640000</v>
      </c>
      <c r="D16" s="5" t="s">
        <v>7</v>
      </c>
      <c r="E16" s="6">
        <f>E6*C12</f>
        <v>116.39999999999999</v>
      </c>
      <c r="F16" s="7" t="s">
        <v>4</v>
      </c>
      <c r="H16" s="4">
        <f>J16*100000</f>
        <v>12140000</v>
      </c>
      <c r="I16" s="5" t="s">
        <v>7</v>
      </c>
      <c r="J16" s="6">
        <f>E6*C12+5</f>
        <v>121.39999999999999</v>
      </c>
      <c r="K16" s="7" t="s">
        <v>4</v>
      </c>
    </row>
    <row r="17" spans="2:11" x14ac:dyDescent="0.3">
      <c r="B17" s="4" t="s">
        <v>9</v>
      </c>
      <c r="C17" s="6">
        <v>1141</v>
      </c>
      <c r="D17" s="5" t="s">
        <v>10</v>
      </c>
      <c r="E17" s="5"/>
      <c r="F17" s="7"/>
      <c r="H17" s="24">
        <v>800</v>
      </c>
      <c r="I17" s="5" t="s">
        <v>10</v>
      </c>
      <c r="J17" s="5"/>
      <c r="K17" s="7"/>
    </row>
    <row r="18" spans="2:11" x14ac:dyDescent="0.3">
      <c r="B18" s="8" t="s">
        <v>3</v>
      </c>
      <c r="C18" s="37">
        <f>(C16-C15)/(C17*9.81)</f>
        <v>995.24622516686452</v>
      </c>
      <c r="D18" s="23" t="s">
        <v>11</v>
      </c>
      <c r="E18" s="23"/>
      <c r="F18" s="30"/>
      <c r="H18" s="39">
        <f>(H16-H15)/(H17*9.81)</f>
        <v>1483.1804281345567</v>
      </c>
      <c r="I18" s="5" t="s">
        <v>11</v>
      </c>
      <c r="J18" s="5"/>
      <c r="K18" s="7"/>
    </row>
    <row r="19" spans="2:11" x14ac:dyDescent="0.3">
      <c r="B19" s="8" t="s">
        <v>12</v>
      </c>
      <c r="C19" s="31">
        <f>(C9+C10)*C11/(C11+1)</f>
        <v>263.53512896034823</v>
      </c>
      <c r="D19" s="23" t="s">
        <v>13</v>
      </c>
      <c r="E19" s="23"/>
      <c r="F19" s="30"/>
      <c r="H19" s="25">
        <f>(C9+C10)*1/(C11+1)</f>
        <v>105.41405158413929</v>
      </c>
      <c r="I19" s="5" t="s">
        <v>13</v>
      </c>
      <c r="J19" s="5"/>
      <c r="K19" s="7"/>
    </row>
    <row r="20" spans="2:11" x14ac:dyDescent="0.3">
      <c r="B20" s="8" t="s">
        <v>23</v>
      </c>
      <c r="C20" s="29">
        <f>C19/C17</f>
        <v>0.23096856175315358</v>
      </c>
      <c r="D20" s="23" t="s">
        <v>24</v>
      </c>
      <c r="E20" s="23"/>
      <c r="F20" s="30"/>
      <c r="H20" s="27">
        <f>H19/H17</f>
        <v>0.1317675644801741</v>
      </c>
      <c r="I20" s="5" t="s">
        <v>24</v>
      </c>
      <c r="J20" s="5"/>
      <c r="K20" s="7"/>
    </row>
    <row r="21" spans="2:11" x14ac:dyDescent="0.3">
      <c r="B21" s="8" t="s">
        <v>25</v>
      </c>
      <c r="C21" s="32">
        <f>C2*C20^0.5/(9.81*C18)^0.75</f>
        <v>1.5371903995853518</v>
      </c>
      <c r="D21" s="23"/>
      <c r="E21" s="37">
        <f>C21*2730</f>
        <v>4196.5297908680104</v>
      </c>
      <c r="F21" s="30" t="s">
        <v>26</v>
      </c>
      <c r="H21" s="26">
        <f>C2*H20^0.5/(9.81*H18)^0.75</f>
        <v>0.86081118748933338</v>
      </c>
      <c r="I21" s="5"/>
      <c r="J21" s="52">
        <f>H21*2730</f>
        <v>2350.0145418458801</v>
      </c>
      <c r="K21" s="7" t="s">
        <v>26</v>
      </c>
    </row>
    <row r="22" spans="2:11" x14ac:dyDescent="0.3">
      <c r="B22" s="28" t="s">
        <v>28</v>
      </c>
      <c r="C22" s="34">
        <f>0.605*EXP(-0.408*C21)</f>
        <v>0.32313001808533759</v>
      </c>
      <c r="D22" s="23"/>
      <c r="E22" s="31"/>
      <c r="F22" s="30"/>
      <c r="G22" s="5"/>
      <c r="H22" s="50">
        <f>0.605*EXP(-0.408*H21)</f>
        <v>0.42582032863533331</v>
      </c>
      <c r="I22" s="5"/>
      <c r="J22" s="5"/>
      <c r="K22" s="7"/>
    </row>
    <row r="23" spans="2:11" x14ac:dyDescent="0.3">
      <c r="B23" s="8"/>
      <c r="C23" s="23"/>
      <c r="D23" s="23"/>
      <c r="E23" s="23"/>
      <c r="F23" s="30"/>
      <c r="H23" s="4"/>
      <c r="I23" s="5"/>
      <c r="J23" s="5"/>
      <c r="K23" s="7"/>
    </row>
    <row r="24" spans="2:11" x14ac:dyDescent="0.3">
      <c r="B24" s="28" t="s">
        <v>29</v>
      </c>
      <c r="C24" s="11">
        <f>2/C2*SQRT(9.81*C18/C22)</f>
        <v>0.11065988846584736</v>
      </c>
      <c r="D24" s="11" t="s">
        <v>11</v>
      </c>
      <c r="E24" s="9">
        <f>C24/25.4*1000</f>
        <v>4.3566885222774561</v>
      </c>
      <c r="F24" s="47" t="s">
        <v>30</v>
      </c>
      <c r="G24" s="1"/>
      <c r="H24" s="25">
        <f>2/C2*SQRT(9.81*H18/H22)</f>
        <v>0.11767857714070944</v>
      </c>
      <c r="I24" s="9" t="s">
        <v>11</v>
      </c>
      <c r="J24" s="9">
        <f>H24/25.4*1000</f>
        <v>4.6330148480594273</v>
      </c>
      <c r="K24" s="47" t="s">
        <v>30</v>
      </c>
    </row>
    <row r="25" spans="2:11" x14ac:dyDescent="0.3">
      <c r="B25" s="4"/>
      <c r="C25" s="5"/>
      <c r="D25" s="5"/>
      <c r="E25" s="5"/>
      <c r="F25" s="7"/>
      <c r="H25" s="4"/>
      <c r="I25" s="5"/>
      <c r="J25" s="5"/>
      <c r="K25" s="7"/>
    </row>
    <row r="26" spans="2:11" x14ac:dyDescent="0.3">
      <c r="B26" s="4" t="s">
        <v>31</v>
      </c>
      <c r="C26" s="6">
        <v>0.5</v>
      </c>
      <c r="D26" s="5"/>
      <c r="E26" s="5"/>
      <c r="F26" s="7"/>
      <c r="H26" s="24">
        <v>0.5</v>
      </c>
      <c r="I26" s="5"/>
      <c r="J26" s="5"/>
      <c r="K26" s="7"/>
    </row>
    <row r="27" spans="2:11" x14ac:dyDescent="0.3">
      <c r="B27" s="14" t="s">
        <v>36</v>
      </c>
      <c r="C27" s="55">
        <f>C17*9.81*C18*C20/C26</f>
        <v>5145979.5558602614</v>
      </c>
      <c r="D27" s="48" t="s">
        <v>37</v>
      </c>
      <c r="E27" s="48">
        <f>C27/1000</f>
        <v>5145.9795558602618</v>
      </c>
      <c r="F27" s="49" t="s">
        <v>38</v>
      </c>
      <c r="G27" s="35"/>
      <c r="H27" s="56">
        <f>H17*9.81*H18*H20/H26</f>
        <v>3067548.901098453</v>
      </c>
      <c r="I27" s="48" t="s">
        <v>37</v>
      </c>
      <c r="J27" s="48">
        <f>H27/1000</f>
        <v>3067.5489010984529</v>
      </c>
      <c r="K27" s="49" t="s">
        <v>38</v>
      </c>
    </row>
    <row r="29" spans="2:11" x14ac:dyDescent="0.3">
      <c r="B29" s="40" t="s">
        <v>32</v>
      </c>
      <c r="C29" s="41"/>
      <c r="D29" s="41"/>
      <c r="E29" s="41"/>
      <c r="F29" s="42"/>
      <c r="H29" s="40" t="s">
        <v>43</v>
      </c>
      <c r="I29" s="41"/>
      <c r="J29" s="41"/>
      <c r="K29" s="42"/>
    </row>
    <row r="30" spans="2:11" x14ac:dyDescent="0.3">
      <c r="B30" s="45" t="s">
        <v>34</v>
      </c>
      <c r="C30" s="54">
        <f>C27+H27</f>
        <v>8213528.4569587149</v>
      </c>
      <c r="D30" s="2" t="s">
        <v>37</v>
      </c>
      <c r="E30" s="2"/>
      <c r="F30" s="3"/>
      <c r="H30" t="s">
        <v>47</v>
      </c>
      <c r="I30">
        <f>C36/(C36+C9)</f>
        <v>7.8039772073109068E-2</v>
      </c>
    </row>
    <row r="31" spans="2:11" x14ac:dyDescent="0.3">
      <c r="B31" s="4" t="s">
        <v>33</v>
      </c>
      <c r="C31" s="6">
        <v>0.7</v>
      </c>
      <c r="D31" s="5"/>
      <c r="E31" s="5"/>
      <c r="F31" s="7"/>
    </row>
    <row r="32" spans="2:11" x14ac:dyDescent="0.3">
      <c r="B32" s="4" t="s">
        <v>35</v>
      </c>
      <c r="C32" s="52">
        <f>C30/C31</f>
        <v>11733612.081369594</v>
      </c>
      <c r="D32" s="5" t="s">
        <v>37</v>
      </c>
      <c r="E32" s="5"/>
      <c r="F32" s="7"/>
    </row>
    <row r="33" spans="2:6" x14ac:dyDescent="0.3">
      <c r="B33" s="4" t="s">
        <v>39</v>
      </c>
      <c r="C33" s="53">
        <f>C32/C2</f>
        <v>3734.9159922872404</v>
      </c>
      <c r="D33" s="5" t="s">
        <v>40</v>
      </c>
      <c r="E33" s="5"/>
      <c r="F33" s="7"/>
    </row>
    <row r="34" spans="2:6" x14ac:dyDescent="0.3">
      <c r="B34" s="4" t="s">
        <v>41</v>
      </c>
      <c r="C34" s="10">
        <f>E34*25.4/1000</f>
        <v>0.20319999999999999</v>
      </c>
      <c r="D34" s="5" t="s">
        <v>11</v>
      </c>
      <c r="E34" s="6">
        <v>8</v>
      </c>
      <c r="F34" s="7" t="s">
        <v>30</v>
      </c>
    </row>
    <row r="35" spans="2:6" x14ac:dyDescent="0.3">
      <c r="B35" s="4" t="s">
        <v>42</v>
      </c>
      <c r="C35" s="53">
        <f>C34*C2</f>
        <v>638.37311999999997</v>
      </c>
      <c r="D35" s="5" t="s">
        <v>20</v>
      </c>
      <c r="E35" s="5"/>
      <c r="F35" s="7"/>
    </row>
    <row r="36" spans="2:6" x14ac:dyDescent="0.3">
      <c r="B36" s="4" t="s">
        <v>46</v>
      </c>
      <c r="C36" s="10">
        <f>C33/C34/C35</f>
        <v>28.792709956252171</v>
      </c>
      <c r="D36" s="5" t="s">
        <v>13</v>
      </c>
      <c r="E36" s="5"/>
      <c r="F36" s="7"/>
    </row>
    <row r="37" spans="2:6" x14ac:dyDescent="0.3">
      <c r="B37" s="4"/>
      <c r="C37" s="5"/>
      <c r="D37" s="5"/>
      <c r="E37" s="5"/>
      <c r="F37" s="7"/>
    </row>
    <row r="38" spans="2:6" x14ac:dyDescent="0.3">
      <c r="B38" s="4" t="s">
        <v>44</v>
      </c>
      <c r="C38" s="6">
        <v>0.41</v>
      </c>
      <c r="D38" s="5"/>
      <c r="E38" s="5"/>
      <c r="F38" s="7"/>
    </row>
    <row r="39" spans="2:6" x14ac:dyDescent="0.3">
      <c r="B39" s="14" t="s">
        <v>45</v>
      </c>
      <c r="C39" s="48">
        <f>C35/C38</f>
        <v>1557.0076097560975</v>
      </c>
      <c r="D39" s="12" t="s">
        <v>20</v>
      </c>
      <c r="E39" s="12"/>
      <c r="F39" s="13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GoalSeek">
                <anchor moveWithCells="1" sizeWithCells="1">
                  <from>
                    <xdr:col>7</xdr:col>
                    <xdr:colOff>0</xdr:colOff>
                    <xdr:row>6</xdr:row>
                    <xdr:rowOff>129540</xdr:rowOff>
                  </from>
                  <to>
                    <xdr:col>9</xdr:col>
                    <xdr:colOff>800100</xdr:colOff>
                    <xdr:row>8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9F76-0CE5-4CF3-B3EF-477A0F13CA4E}">
  <sheetPr codeName="Sheet2"/>
  <dimension ref="A1"/>
  <sheetViews>
    <sheetView workbookViewId="0">
      <selection activeCell="E2" sqref="E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Aeon-R</vt:lpstr>
      <vt:lpstr>Merlin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2015-06-05T18:17:20Z</dcterms:created>
  <dcterms:modified xsi:type="dcterms:W3CDTF">2025-10-26T03:49:59Z</dcterms:modified>
</cp:coreProperties>
</file>