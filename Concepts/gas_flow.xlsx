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rend\Desktop\Turbopump_Mark2\Concepts\"/>
    </mc:Choice>
  </mc:AlternateContent>
  <xr:revisionPtr revIDLastSave="0" documentId="13_ncr:1_{292DE60D-55DC-47DC-B803-904E37F8393D}" xr6:coauthVersionLast="47" xr6:coauthVersionMax="47" xr10:uidLastSave="{00000000-0000-0000-0000-000000000000}"/>
  <bookViews>
    <workbookView xWindow="-108" yWindow="-108" windowWidth="23256" windowHeight="13896" xr2:uid="{4CE6C131-0F58-4172-8AF3-7B5457778D1A}"/>
  </bookViews>
  <sheets>
    <sheet name="Jet-A CEA" sheetId="4" r:id="rId1"/>
    <sheet name="Turbine Trade Jet-A" sheetId="7" r:id="rId2"/>
    <sheet name="Ethanol CC CEA" sheetId="3" r:id="rId3"/>
    <sheet name="Turbine Trade Ethanol" sheetId="2" r:id="rId4"/>
    <sheet name="K Bottle Flow" sheetId="1" r:id="rId5"/>
    <sheet name="Pump Outle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18" i="8"/>
  <c r="C20" i="8"/>
  <c r="C16" i="8"/>
  <c r="C3" i="8"/>
  <c r="C10" i="8" s="1"/>
  <c r="C12" i="8" s="1"/>
  <c r="B16" i="7"/>
  <c r="J7" i="7" s="1"/>
  <c r="B24" i="7"/>
  <c r="B7" i="7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F101" i="4"/>
  <c r="G101" i="4" s="1"/>
  <c r="B4" i="4" s="1"/>
  <c r="F102" i="4"/>
  <c r="G102" i="4"/>
  <c r="B5" i="4" s="1"/>
  <c r="B6" i="7"/>
  <c r="AB14" i="7"/>
  <c r="AA14" i="7"/>
  <c r="Z14" i="7"/>
  <c r="Y14" i="7"/>
  <c r="X14" i="7"/>
  <c r="W14" i="7"/>
  <c r="V14" i="7"/>
  <c r="U14" i="7"/>
  <c r="AB13" i="7"/>
  <c r="AA13" i="7"/>
  <c r="Z13" i="7"/>
  <c r="Y13" i="7"/>
  <c r="X13" i="7"/>
  <c r="W13" i="7"/>
  <c r="V13" i="7"/>
  <c r="U13" i="7"/>
  <c r="AB12" i="7"/>
  <c r="AA12" i="7"/>
  <c r="Z12" i="7"/>
  <c r="Y12" i="7"/>
  <c r="X12" i="7"/>
  <c r="W12" i="7"/>
  <c r="V12" i="7"/>
  <c r="U12" i="7"/>
  <c r="B12" i="7"/>
  <c r="AB11" i="7"/>
  <c r="AA11" i="7"/>
  <c r="Z11" i="7"/>
  <c r="Y11" i="7"/>
  <c r="X11" i="7"/>
  <c r="W11" i="7"/>
  <c r="V11" i="7"/>
  <c r="U11" i="7"/>
  <c r="AB10" i="7"/>
  <c r="AA10" i="7"/>
  <c r="Z10" i="7"/>
  <c r="Y10" i="7"/>
  <c r="X10" i="7"/>
  <c r="W10" i="7"/>
  <c r="V10" i="7"/>
  <c r="U10" i="7"/>
  <c r="AB9" i="7"/>
  <c r="AA9" i="7"/>
  <c r="Z9" i="7"/>
  <c r="Y9" i="7"/>
  <c r="X9" i="7"/>
  <c r="W9" i="7"/>
  <c r="V9" i="7"/>
  <c r="U9" i="7"/>
  <c r="AB8" i="7"/>
  <c r="AA8" i="7"/>
  <c r="Z8" i="7"/>
  <c r="Y8" i="7"/>
  <c r="X8" i="7"/>
  <c r="W8" i="7"/>
  <c r="V8" i="7"/>
  <c r="U8" i="7"/>
  <c r="AB7" i="7"/>
  <c r="AA7" i="7"/>
  <c r="Z7" i="7"/>
  <c r="Y7" i="7"/>
  <c r="X7" i="7"/>
  <c r="W7" i="7"/>
  <c r="V7" i="7"/>
  <c r="U7" i="7"/>
  <c r="AB6" i="7"/>
  <c r="AA6" i="7"/>
  <c r="Z6" i="7"/>
  <c r="Y6" i="7"/>
  <c r="X6" i="7"/>
  <c r="W6" i="7"/>
  <c r="V6" i="7"/>
  <c r="U6" i="7"/>
  <c r="AB5" i="7"/>
  <c r="AA5" i="7"/>
  <c r="Z5" i="7"/>
  <c r="Y5" i="7"/>
  <c r="X5" i="7"/>
  <c r="W5" i="7"/>
  <c r="V5" i="7"/>
  <c r="U5" i="7"/>
  <c r="D4" i="7"/>
  <c r="D3" i="7"/>
  <c r="L36" i="4"/>
  <c r="M36" i="4"/>
  <c r="N36" i="4"/>
  <c r="O36" i="4"/>
  <c r="P36" i="4"/>
  <c r="Q36" i="4"/>
  <c r="R36" i="4"/>
  <c r="S36" i="4"/>
  <c r="T36" i="4"/>
  <c r="U36" i="4"/>
  <c r="L37" i="4"/>
  <c r="M37" i="4"/>
  <c r="N37" i="4"/>
  <c r="O37" i="4"/>
  <c r="P37" i="4"/>
  <c r="Q37" i="4"/>
  <c r="R37" i="4"/>
  <c r="S37" i="4"/>
  <c r="T37" i="4"/>
  <c r="U37" i="4"/>
  <c r="L38" i="4"/>
  <c r="M38" i="4"/>
  <c r="N38" i="4"/>
  <c r="O38" i="4"/>
  <c r="P38" i="4"/>
  <c r="Q38" i="4"/>
  <c r="R38" i="4"/>
  <c r="S38" i="4"/>
  <c r="T38" i="4"/>
  <c r="U38" i="4"/>
  <c r="L39" i="4"/>
  <c r="M39" i="4"/>
  <c r="N39" i="4"/>
  <c r="O39" i="4"/>
  <c r="P39" i="4"/>
  <c r="Q39" i="4"/>
  <c r="R39" i="4"/>
  <c r="S39" i="4"/>
  <c r="T39" i="4"/>
  <c r="U39" i="4"/>
  <c r="L40" i="4"/>
  <c r="M40" i="4"/>
  <c r="N40" i="4"/>
  <c r="O40" i="4"/>
  <c r="P40" i="4"/>
  <c r="Q40" i="4"/>
  <c r="R40" i="4"/>
  <c r="S40" i="4"/>
  <c r="T40" i="4"/>
  <c r="U40" i="4"/>
  <c r="L41" i="4"/>
  <c r="M41" i="4"/>
  <c r="N41" i="4"/>
  <c r="O41" i="4"/>
  <c r="P41" i="4"/>
  <c r="Q41" i="4"/>
  <c r="R41" i="4"/>
  <c r="S41" i="4"/>
  <c r="T41" i="4"/>
  <c r="U41" i="4"/>
  <c r="L42" i="4"/>
  <c r="M42" i="4"/>
  <c r="N42" i="4"/>
  <c r="O42" i="4"/>
  <c r="P42" i="4"/>
  <c r="Q42" i="4"/>
  <c r="R42" i="4"/>
  <c r="S42" i="4"/>
  <c r="T42" i="4"/>
  <c r="U42" i="4"/>
  <c r="L43" i="4"/>
  <c r="M43" i="4"/>
  <c r="N43" i="4"/>
  <c r="O43" i="4"/>
  <c r="P43" i="4"/>
  <c r="Q43" i="4"/>
  <c r="R43" i="4"/>
  <c r="S43" i="4"/>
  <c r="T43" i="4"/>
  <c r="U43" i="4"/>
  <c r="L44" i="4"/>
  <c r="M44" i="4"/>
  <c r="N44" i="4"/>
  <c r="O44" i="4"/>
  <c r="P44" i="4"/>
  <c r="Q44" i="4"/>
  <c r="R44" i="4"/>
  <c r="S44" i="4"/>
  <c r="T44" i="4"/>
  <c r="U44" i="4"/>
  <c r="U35" i="4"/>
  <c r="T35" i="4"/>
  <c r="S35" i="4"/>
  <c r="R35" i="4"/>
  <c r="Q35" i="4"/>
  <c r="P35" i="4"/>
  <c r="O35" i="4"/>
  <c r="N35" i="4"/>
  <c r="M35" i="4"/>
  <c r="B35" i="4"/>
  <c r="K120" i="4"/>
  <c r="K130" i="4" s="1"/>
  <c r="K140" i="4" s="1"/>
  <c r="K150" i="4" s="1"/>
  <c r="K160" i="4" s="1"/>
  <c r="K170" i="4" s="1"/>
  <c r="K180" i="4" s="1"/>
  <c r="K190" i="4" s="1"/>
  <c r="K200" i="4" s="1"/>
  <c r="K210" i="4" s="1"/>
  <c r="K220" i="4" s="1"/>
  <c r="K230" i="4" s="1"/>
  <c r="K240" i="4" s="1"/>
  <c r="K250" i="4" s="1"/>
  <c r="K260" i="4" s="1"/>
  <c r="K270" i="4" s="1"/>
  <c r="K280" i="4" s="1"/>
  <c r="K290" i="4" s="1"/>
  <c r="K300" i="4" s="1"/>
  <c r="K119" i="4"/>
  <c r="K129" i="4" s="1"/>
  <c r="K139" i="4" s="1"/>
  <c r="K149" i="4" s="1"/>
  <c r="K159" i="4" s="1"/>
  <c r="K169" i="4" s="1"/>
  <c r="K179" i="4" s="1"/>
  <c r="K189" i="4" s="1"/>
  <c r="K199" i="4" s="1"/>
  <c r="K209" i="4" s="1"/>
  <c r="K219" i="4" s="1"/>
  <c r="K229" i="4" s="1"/>
  <c r="K239" i="4" s="1"/>
  <c r="K249" i="4" s="1"/>
  <c r="K259" i="4" s="1"/>
  <c r="K269" i="4" s="1"/>
  <c r="K279" i="4" s="1"/>
  <c r="K289" i="4" s="1"/>
  <c r="K299" i="4" s="1"/>
  <c r="K118" i="4"/>
  <c r="K128" i="4" s="1"/>
  <c r="K138" i="4" s="1"/>
  <c r="K148" i="4" s="1"/>
  <c r="K158" i="4" s="1"/>
  <c r="K168" i="4" s="1"/>
  <c r="K178" i="4" s="1"/>
  <c r="K188" i="4" s="1"/>
  <c r="K198" i="4" s="1"/>
  <c r="K208" i="4" s="1"/>
  <c r="K218" i="4" s="1"/>
  <c r="K228" i="4" s="1"/>
  <c r="K238" i="4" s="1"/>
  <c r="K248" i="4" s="1"/>
  <c r="K258" i="4" s="1"/>
  <c r="K268" i="4" s="1"/>
  <c r="K278" i="4" s="1"/>
  <c r="K288" i="4" s="1"/>
  <c r="K298" i="4" s="1"/>
  <c r="K117" i="4"/>
  <c r="K127" i="4" s="1"/>
  <c r="K137" i="4" s="1"/>
  <c r="K147" i="4" s="1"/>
  <c r="K157" i="4" s="1"/>
  <c r="K167" i="4" s="1"/>
  <c r="K177" i="4" s="1"/>
  <c r="K187" i="4" s="1"/>
  <c r="K197" i="4" s="1"/>
  <c r="K207" i="4" s="1"/>
  <c r="K217" i="4" s="1"/>
  <c r="K227" i="4" s="1"/>
  <c r="K237" i="4" s="1"/>
  <c r="K247" i="4" s="1"/>
  <c r="K257" i="4" s="1"/>
  <c r="K267" i="4" s="1"/>
  <c r="K277" i="4" s="1"/>
  <c r="K287" i="4" s="1"/>
  <c r="K297" i="4" s="1"/>
  <c r="K116" i="4"/>
  <c r="K126" i="4" s="1"/>
  <c r="K136" i="4" s="1"/>
  <c r="K146" i="4" s="1"/>
  <c r="K156" i="4" s="1"/>
  <c r="K166" i="4" s="1"/>
  <c r="K176" i="4" s="1"/>
  <c r="K186" i="4" s="1"/>
  <c r="K196" i="4" s="1"/>
  <c r="K206" i="4" s="1"/>
  <c r="K216" i="4" s="1"/>
  <c r="K226" i="4" s="1"/>
  <c r="K236" i="4" s="1"/>
  <c r="K246" i="4" s="1"/>
  <c r="K256" i="4" s="1"/>
  <c r="K266" i="4" s="1"/>
  <c r="K276" i="4" s="1"/>
  <c r="K286" i="4" s="1"/>
  <c r="K296" i="4" s="1"/>
  <c r="K115" i="4"/>
  <c r="K125" i="4" s="1"/>
  <c r="K135" i="4" s="1"/>
  <c r="K145" i="4" s="1"/>
  <c r="K155" i="4" s="1"/>
  <c r="K165" i="4" s="1"/>
  <c r="K175" i="4" s="1"/>
  <c r="K185" i="4" s="1"/>
  <c r="K195" i="4" s="1"/>
  <c r="K205" i="4" s="1"/>
  <c r="K215" i="4" s="1"/>
  <c r="K225" i="4" s="1"/>
  <c r="K235" i="4" s="1"/>
  <c r="K245" i="4" s="1"/>
  <c r="K255" i="4" s="1"/>
  <c r="K265" i="4" s="1"/>
  <c r="K275" i="4" s="1"/>
  <c r="K285" i="4" s="1"/>
  <c r="K295" i="4" s="1"/>
  <c r="K114" i="4"/>
  <c r="K124" i="4" s="1"/>
  <c r="K134" i="4" s="1"/>
  <c r="K144" i="4" s="1"/>
  <c r="K154" i="4" s="1"/>
  <c r="K164" i="4" s="1"/>
  <c r="K174" i="4" s="1"/>
  <c r="K184" i="4" s="1"/>
  <c r="K194" i="4" s="1"/>
  <c r="K204" i="4" s="1"/>
  <c r="K214" i="4" s="1"/>
  <c r="K224" i="4" s="1"/>
  <c r="K234" i="4" s="1"/>
  <c r="K244" i="4" s="1"/>
  <c r="K254" i="4" s="1"/>
  <c r="K264" i="4" s="1"/>
  <c r="K274" i="4" s="1"/>
  <c r="K284" i="4" s="1"/>
  <c r="K294" i="4" s="1"/>
  <c r="K113" i="4"/>
  <c r="K123" i="4" s="1"/>
  <c r="K133" i="4" s="1"/>
  <c r="K143" i="4" s="1"/>
  <c r="K153" i="4" s="1"/>
  <c r="K163" i="4" s="1"/>
  <c r="K173" i="4" s="1"/>
  <c r="K183" i="4" s="1"/>
  <c r="K193" i="4" s="1"/>
  <c r="K203" i="4" s="1"/>
  <c r="K213" i="4" s="1"/>
  <c r="K223" i="4" s="1"/>
  <c r="K233" i="4" s="1"/>
  <c r="K243" i="4" s="1"/>
  <c r="K253" i="4" s="1"/>
  <c r="K263" i="4" s="1"/>
  <c r="K273" i="4" s="1"/>
  <c r="K283" i="4" s="1"/>
  <c r="K293" i="4" s="1"/>
  <c r="K112" i="4"/>
  <c r="K122" i="4" s="1"/>
  <c r="K132" i="4" s="1"/>
  <c r="K142" i="4" s="1"/>
  <c r="K152" i="4" s="1"/>
  <c r="K162" i="4" s="1"/>
  <c r="K172" i="4" s="1"/>
  <c r="K182" i="4" s="1"/>
  <c r="K192" i="4" s="1"/>
  <c r="K202" i="4" s="1"/>
  <c r="K212" i="4" s="1"/>
  <c r="K222" i="4" s="1"/>
  <c r="K232" i="4" s="1"/>
  <c r="K242" i="4" s="1"/>
  <c r="K252" i="4" s="1"/>
  <c r="K262" i="4" s="1"/>
  <c r="K272" i="4" s="1"/>
  <c r="K282" i="4" s="1"/>
  <c r="K292" i="4" s="1"/>
  <c r="K111" i="4"/>
  <c r="K121" i="4" s="1"/>
  <c r="K131" i="4" s="1"/>
  <c r="K141" i="4" s="1"/>
  <c r="K151" i="4" s="1"/>
  <c r="K161" i="4" s="1"/>
  <c r="K171" i="4" s="1"/>
  <c r="K181" i="4" s="1"/>
  <c r="K191" i="4" s="1"/>
  <c r="K201" i="4" s="1"/>
  <c r="K211" i="4" s="1"/>
  <c r="K221" i="4" s="1"/>
  <c r="K231" i="4" s="1"/>
  <c r="K241" i="4" s="1"/>
  <c r="K251" i="4" s="1"/>
  <c r="K261" i="4" s="1"/>
  <c r="K271" i="4" s="1"/>
  <c r="K281" i="4" s="1"/>
  <c r="K291" i="4" s="1"/>
  <c r="B120" i="4"/>
  <c r="B130" i="4" s="1"/>
  <c r="B140" i="4" s="1"/>
  <c r="B150" i="4" s="1"/>
  <c r="B160" i="4" s="1"/>
  <c r="B170" i="4" s="1"/>
  <c r="B180" i="4" s="1"/>
  <c r="B190" i="4" s="1"/>
  <c r="B200" i="4" s="1"/>
  <c r="B210" i="4" s="1"/>
  <c r="B220" i="4" s="1"/>
  <c r="B230" i="4" s="1"/>
  <c r="B240" i="4" s="1"/>
  <c r="B250" i="4" s="1"/>
  <c r="B260" i="4" s="1"/>
  <c r="B270" i="4" s="1"/>
  <c r="B280" i="4" s="1"/>
  <c r="B290" i="4" s="1"/>
  <c r="B300" i="4" s="1"/>
  <c r="B119" i="4"/>
  <c r="B129" i="4" s="1"/>
  <c r="B139" i="4" s="1"/>
  <c r="B149" i="4" s="1"/>
  <c r="B159" i="4" s="1"/>
  <c r="B169" i="4" s="1"/>
  <c r="B179" i="4" s="1"/>
  <c r="B189" i="4" s="1"/>
  <c r="B199" i="4" s="1"/>
  <c r="B209" i="4" s="1"/>
  <c r="B219" i="4" s="1"/>
  <c r="B229" i="4" s="1"/>
  <c r="B239" i="4" s="1"/>
  <c r="B249" i="4" s="1"/>
  <c r="B259" i="4" s="1"/>
  <c r="B269" i="4" s="1"/>
  <c r="B279" i="4" s="1"/>
  <c r="B289" i="4" s="1"/>
  <c r="B299" i="4" s="1"/>
  <c r="B118" i="4"/>
  <c r="B128" i="4" s="1"/>
  <c r="B138" i="4" s="1"/>
  <c r="B148" i="4" s="1"/>
  <c r="B158" i="4" s="1"/>
  <c r="B168" i="4" s="1"/>
  <c r="B178" i="4" s="1"/>
  <c r="B188" i="4" s="1"/>
  <c r="B198" i="4" s="1"/>
  <c r="B208" i="4" s="1"/>
  <c r="B218" i="4" s="1"/>
  <c r="B228" i="4" s="1"/>
  <c r="B238" i="4" s="1"/>
  <c r="B248" i="4" s="1"/>
  <c r="B258" i="4" s="1"/>
  <c r="B268" i="4" s="1"/>
  <c r="B278" i="4" s="1"/>
  <c r="B288" i="4" s="1"/>
  <c r="B298" i="4" s="1"/>
  <c r="B117" i="4"/>
  <c r="B127" i="4" s="1"/>
  <c r="B137" i="4" s="1"/>
  <c r="B147" i="4" s="1"/>
  <c r="B157" i="4" s="1"/>
  <c r="B167" i="4" s="1"/>
  <c r="B177" i="4" s="1"/>
  <c r="B187" i="4" s="1"/>
  <c r="B197" i="4" s="1"/>
  <c r="B207" i="4" s="1"/>
  <c r="B217" i="4" s="1"/>
  <c r="B227" i="4" s="1"/>
  <c r="B237" i="4" s="1"/>
  <c r="B247" i="4" s="1"/>
  <c r="B257" i="4" s="1"/>
  <c r="B267" i="4" s="1"/>
  <c r="B277" i="4" s="1"/>
  <c r="B287" i="4" s="1"/>
  <c r="B297" i="4" s="1"/>
  <c r="B116" i="4"/>
  <c r="B126" i="4" s="1"/>
  <c r="B136" i="4" s="1"/>
  <c r="B146" i="4" s="1"/>
  <c r="B156" i="4" s="1"/>
  <c r="B166" i="4" s="1"/>
  <c r="B176" i="4" s="1"/>
  <c r="B186" i="4" s="1"/>
  <c r="B196" i="4" s="1"/>
  <c r="B206" i="4" s="1"/>
  <c r="B216" i="4" s="1"/>
  <c r="B226" i="4" s="1"/>
  <c r="B236" i="4" s="1"/>
  <c r="B246" i="4" s="1"/>
  <c r="B256" i="4" s="1"/>
  <c r="B266" i="4" s="1"/>
  <c r="B276" i="4" s="1"/>
  <c r="B286" i="4" s="1"/>
  <c r="B296" i="4" s="1"/>
  <c r="B115" i="4"/>
  <c r="B125" i="4" s="1"/>
  <c r="B135" i="4" s="1"/>
  <c r="B145" i="4" s="1"/>
  <c r="B155" i="4" s="1"/>
  <c r="B165" i="4" s="1"/>
  <c r="B175" i="4" s="1"/>
  <c r="B185" i="4" s="1"/>
  <c r="B195" i="4" s="1"/>
  <c r="B205" i="4" s="1"/>
  <c r="B215" i="4" s="1"/>
  <c r="B225" i="4" s="1"/>
  <c r="B235" i="4" s="1"/>
  <c r="B245" i="4" s="1"/>
  <c r="B255" i="4" s="1"/>
  <c r="B265" i="4" s="1"/>
  <c r="B275" i="4" s="1"/>
  <c r="B285" i="4" s="1"/>
  <c r="B295" i="4" s="1"/>
  <c r="B114" i="4"/>
  <c r="B124" i="4" s="1"/>
  <c r="B134" i="4" s="1"/>
  <c r="B144" i="4" s="1"/>
  <c r="B154" i="4" s="1"/>
  <c r="B164" i="4" s="1"/>
  <c r="B174" i="4" s="1"/>
  <c r="B184" i="4" s="1"/>
  <c r="B194" i="4" s="1"/>
  <c r="B204" i="4" s="1"/>
  <c r="B214" i="4" s="1"/>
  <c r="B224" i="4" s="1"/>
  <c r="B234" i="4" s="1"/>
  <c r="B244" i="4" s="1"/>
  <c r="B254" i="4" s="1"/>
  <c r="B264" i="4" s="1"/>
  <c r="B274" i="4" s="1"/>
  <c r="B284" i="4" s="1"/>
  <c r="B294" i="4" s="1"/>
  <c r="B113" i="4"/>
  <c r="B123" i="4" s="1"/>
  <c r="B133" i="4" s="1"/>
  <c r="B143" i="4" s="1"/>
  <c r="B153" i="4" s="1"/>
  <c r="B163" i="4" s="1"/>
  <c r="B173" i="4" s="1"/>
  <c r="B183" i="4" s="1"/>
  <c r="B193" i="4" s="1"/>
  <c r="B203" i="4" s="1"/>
  <c r="B213" i="4" s="1"/>
  <c r="B223" i="4" s="1"/>
  <c r="B233" i="4" s="1"/>
  <c r="B243" i="4" s="1"/>
  <c r="B253" i="4" s="1"/>
  <c r="B263" i="4" s="1"/>
  <c r="B273" i="4" s="1"/>
  <c r="B283" i="4" s="1"/>
  <c r="B293" i="4" s="1"/>
  <c r="B112" i="4"/>
  <c r="B122" i="4" s="1"/>
  <c r="B132" i="4" s="1"/>
  <c r="B142" i="4" s="1"/>
  <c r="B152" i="4" s="1"/>
  <c r="B162" i="4" s="1"/>
  <c r="B172" i="4" s="1"/>
  <c r="B182" i="4" s="1"/>
  <c r="B192" i="4" s="1"/>
  <c r="B202" i="4" s="1"/>
  <c r="B212" i="4" s="1"/>
  <c r="B222" i="4" s="1"/>
  <c r="B232" i="4" s="1"/>
  <c r="B242" i="4" s="1"/>
  <c r="B252" i="4" s="1"/>
  <c r="B262" i="4" s="1"/>
  <c r="B272" i="4" s="1"/>
  <c r="B282" i="4" s="1"/>
  <c r="B292" i="4" s="1"/>
  <c r="B111" i="4"/>
  <c r="B121" i="4" s="1"/>
  <c r="B131" i="4" s="1"/>
  <c r="B141" i="4" s="1"/>
  <c r="B151" i="4" s="1"/>
  <c r="B161" i="4" s="1"/>
  <c r="B171" i="4" s="1"/>
  <c r="B181" i="4" s="1"/>
  <c r="B191" i="4" s="1"/>
  <c r="B201" i="4" s="1"/>
  <c r="B211" i="4" s="1"/>
  <c r="B221" i="4" s="1"/>
  <c r="B231" i="4" s="1"/>
  <c r="B241" i="4" s="1"/>
  <c r="B251" i="4" s="1"/>
  <c r="B261" i="4" s="1"/>
  <c r="B271" i="4" s="1"/>
  <c r="B281" i="4" s="1"/>
  <c r="B291" i="4" s="1"/>
  <c r="F300" i="4"/>
  <c r="G300" i="4" s="1"/>
  <c r="U13" i="4" s="1"/>
  <c r="F299" i="4"/>
  <c r="G299" i="4" s="1"/>
  <c r="U12" i="4" s="1"/>
  <c r="F298" i="4"/>
  <c r="G298" i="4" s="1"/>
  <c r="U11" i="4" s="1"/>
  <c r="F297" i="4"/>
  <c r="G297" i="4" s="1"/>
  <c r="U10" i="4" s="1"/>
  <c r="F296" i="4"/>
  <c r="G296" i="4" s="1"/>
  <c r="U9" i="4" s="1"/>
  <c r="F295" i="4"/>
  <c r="G295" i="4" s="1"/>
  <c r="U8" i="4" s="1"/>
  <c r="F294" i="4"/>
  <c r="G294" i="4" s="1"/>
  <c r="U7" i="4" s="1"/>
  <c r="F293" i="4"/>
  <c r="G293" i="4" s="1"/>
  <c r="U6" i="4" s="1"/>
  <c r="F292" i="4"/>
  <c r="G292" i="4" s="1"/>
  <c r="U5" i="4" s="1"/>
  <c r="F291" i="4"/>
  <c r="G291" i="4" s="1"/>
  <c r="U4" i="4" s="1"/>
  <c r="F290" i="4"/>
  <c r="G290" i="4" s="1"/>
  <c r="T13" i="4" s="1"/>
  <c r="F289" i="4"/>
  <c r="G289" i="4" s="1"/>
  <c r="T12" i="4" s="1"/>
  <c r="F288" i="4"/>
  <c r="G288" i="4" s="1"/>
  <c r="T11" i="4" s="1"/>
  <c r="F287" i="4"/>
  <c r="G287" i="4" s="1"/>
  <c r="T10" i="4" s="1"/>
  <c r="F286" i="4"/>
  <c r="G286" i="4" s="1"/>
  <c r="T9" i="4" s="1"/>
  <c r="F285" i="4"/>
  <c r="G285" i="4" s="1"/>
  <c r="T8" i="4" s="1"/>
  <c r="F284" i="4"/>
  <c r="G284" i="4" s="1"/>
  <c r="T7" i="4" s="1"/>
  <c r="F283" i="4"/>
  <c r="G283" i="4" s="1"/>
  <c r="T6" i="4" s="1"/>
  <c r="F282" i="4"/>
  <c r="G282" i="4" s="1"/>
  <c r="T5" i="4" s="1"/>
  <c r="F281" i="4"/>
  <c r="G281" i="4" s="1"/>
  <c r="T4" i="4" s="1"/>
  <c r="F280" i="4"/>
  <c r="G280" i="4" s="1"/>
  <c r="S13" i="4" s="1"/>
  <c r="F279" i="4"/>
  <c r="G279" i="4" s="1"/>
  <c r="S12" i="4" s="1"/>
  <c r="F278" i="4"/>
  <c r="G278" i="4" s="1"/>
  <c r="S11" i="4" s="1"/>
  <c r="F277" i="4"/>
  <c r="G277" i="4" s="1"/>
  <c r="S10" i="4" s="1"/>
  <c r="F276" i="4"/>
  <c r="G276" i="4" s="1"/>
  <c r="S9" i="4" s="1"/>
  <c r="F275" i="4"/>
  <c r="G275" i="4" s="1"/>
  <c r="S8" i="4" s="1"/>
  <c r="F274" i="4"/>
  <c r="G274" i="4" s="1"/>
  <c r="S7" i="4" s="1"/>
  <c r="F273" i="4"/>
  <c r="G273" i="4" s="1"/>
  <c r="S6" i="4" s="1"/>
  <c r="F272" i="4"/>
  <c r="G272" i="4" s="1"/>
  <c r="S5" i="4" s="1"/>
  <c r="F271" i="4"/>
  <c r="G271" i="4" s="1"/>
  <c r="S4" i="4" s="1"/>
  <c r="F270" i="4"/>
  <c r="G270" i="4" s="1"/>
  <c r="R13" i="4" s="1"/>
  <c r="F269" i="4"/>
  <c r="G269" i="4" s="1"/>
  <c r="R12" i="4" s="1"/>
  <c r="F268" i="4"/>
  <c r="G268" i="4" s="1"/>
  <c r="R11" i="4" s="1"/>
  <c r="F267" i="4"/>
  <c r="G267" i="4" s="1"/>
  <c r="R10" i="4" s="1"/>
  <c r="F266" i="4"/>
  <c r="G266" i="4" s="1"/>
  <c r="R9" i="4" s="1"/>
  <c r="F265" i="4"/>
  <c r="G265" i="4" s="1"/>
  <c r="R8" i="4" s="1"/>
  <c r="F264" i="4"/>
  <c r="G264" i="4" s="1"/>
  <c r="R7" i="4" s="1"/>
  <c r="F263" i="4"/>
  <c r="G263" i="4" s="1"/>
  <c r="R6" i="4" s="1"/>
  <c r="F262" i="4"/>
  <c r="G262" i="4" s="1"/>
  <c r="R5" i="4" s="1"/>
  <c r="F261" i="4"/>
  <c r="G261" i="4" s="1"/>
  <c r="R4" i="4" s="1"/>
  <c r="F260" i="4"/>
  <c r="G260" i="4" s="1"/>
  <c r="Q13" i="4" s="1"/>
  <c r="F259" i="4"/>
  <c r="G259" i="4" s="1"/>
  <c r="Q12" i="4" s="1"/>
  <c r="F258" i="4"/>
  <c r="G258" i="4" s="1"/>
  <c r="Q11" i="4" s="1"/>
  <c r="F257" i="4"/>
  <c r="G257" i="4" s="1"/>
  <c r="Q10" i="4" s="1"/>
  <c r="F256" i="4"/>
  <c r="G256" i="4" s="1"/>
  <c r="Q9" i="4" s="1"/>
  <c r="F255" i="4"/>
  <c r="G255" i="4" s="1"/>
  <c r="Q8" i="4" s="1"/>
  <c r="F254" i="4"/>
  <c r="G254" i="4" s="1"/>
  <c r="Q7" i="4" s="1"/>
  <c r="F253" i="4"/>
  <c r="G253" i="4" s="1"/>
  <c r="Q6" i="4" s="1"/>
  <c r="F252" i="4"/>
  <c r="G252" i="4" s="1"/>
  <c r="Q5" i="4" s="1"/>
  <c r="F251" i="4"/>
  <c r="G251" i="4" s="1"/>
  <c r="Q4" i="4" s="1"/>
  <c r="F250" i="4"/>
  <c r="G250" i="4" s="1"/>
  <c r="P13" i="4" s="1"/>
  <c r="F249" i="4"/>
  <c r="G249" i="4" s="1"/>
  <c r="P12" i="4" s="1"/>
  <c r="F248" i="4"/>
  <c r="G248" i="4" s="1"/>
  <c r="P11" i="4" s="1"/>
  <c r="F247" i="4"/>
  <c r="G247" i="4" s="1"/>
  <c r="P10" i="4" s="1"/>
  <c r="F246" i="4"/>
  <c r="G246" i="4" s="1"/>
  <c r="P9" i="4" s="1"/>
  <c r="F245" i="4"/>
  <c r="G245" i="4" s="1"/>
  <c r="P8" i="4" s="1"/>
  <c r="F244" i="4"/>
  <c r="G244" i="4" s="1"/>
  <c r="P7" i="4" s="1"/>
  <c r="F243" i="4"/>
  <c r="G243" i="4" s="1"/>
  <c r="P6" i="4" s="1"/>
  <c r="F242" i="4"/>
  <c r="G242" i="4" s="1"/>
  <c r="P5" i="4" s="1"/>
  <c r="F241" i="4"/>
  <c r="G241" i="4" s="1"/>
  <c r="P4" i="4" s="1"/>
  <c r="F240" i="4"/>
  <c r="G240" i="4" s="1"/>
  <c r="O13" i="4" s="1"/>
  <c r="F239" i="4"/>
  <c r="G239" i="4" s="1"/>
  <c r="O12" i="4" s="1"/>
  <c r="F238" i="4"/>
  <c r="G238" i="4" s="1"/>
  <c r="O11" i="4" s="1"/>
  <c r="F237" i="4"/>
  <c r="G237" i="4" s="1"/>
  <c r="O10" i="4" s="1"/>
  <c r="F236" i="4"/>
  <c r="G236" i="4" s="1"/>
  <c r="O9" i="4" s="1"/>
  <c r="F235" i="4"/>
  <c r="G235" i="4" s="1"/>
  <c r="O8" i="4" s="1"/>
  <c r="F234" i="4"/>
  <c r="G234" i="4" s="1"/>
  <c r="O7" i="4" s="1"/>
  <c r="F233" i="4"/>
  <c r="G233" i="4" s="1"/>
  <c r="O6" i="4" s="1"/>
  <c r="F232" i="4"/>
  <c r="G232" i="4" s="1"/>
  <c r="O5" i="4" s="1"/>
  <c r="F231" i="4"/>
  <c r="G231" i="4" s="1"/>
  <c r="O4" i="4" s="1"/>
  <c r="F230" i="4"/>
  <c r="G230" i="4" s="1"/>
  <c r="N13" i="4" s="1"/>
  <c r="F229" i="4"/>
  <c r="G229" i="4" s="1"/>
  <c r="N12" i="4" s="1"/>
  <c r="F228" i="4"/>
  <c r="G228" i="4" s="1"/>
  <c r="N11" i="4" s="1"/>
  <c r="F227" i="4"/>
  <c r="G227" i="4" s="1"/>
  <c r="N10" i="4" s="1"/>
  <c r="F226" i="4"/>
  <c r="G226" i="4" s="1"/>
  <c r="N9" i="4" s="1"/>
  <c r="F225" i="4"/>
  <c r="G225" i="4" s="1"/>
  <c r="N8" i="4" s="1"/>
  <c r="F224" i="4"/>
  <c r="G224" i="4" s="1"/>
  <c r="N7" i="4" s="1"/>
  <c r="F223" i="4"/>
  <c r="G223" i="4" s="1"/>
  <c r="N6" i="4" s="1"/>
  <c r="F222" i="4"/>
  <c r="G222" i="4" s="1"/>
  <c r="N5" i="4" s="1"/>
  <c r="F221" i="4"/>
  <c r="G221" i="4" s="1"/>
  <c r="N4" i="4" s="1"/>
  <c r="F220" i="4"/>
  <c r="G220" i="4" s="1"/>
  <c r="M13" i="4" s="1"/>
  <c r="F219" i="4"/>
  <c r="G219" i="4" s="1"/>
  <c r="M12" i="4" s="1"/>
  <c r="F218" i="4"/>
  <c r="G218" i="4" s="1"/>
  <c r="M11" i="4" s="1"/>
  <c r="F217" i="4"/>
  <c r="G217" i="4" s="1"/>
  <c r="M10" i="4" s="1"/>
  <c r="F216" i="4"/>
  <c r="G216" i="4" s="1"/>
  <c r="M9" i="4" s="1"/>
  <c r="F215" i="4"/>
  <c r="G215" i="4" s="1"/>
  <c r="M8" i="4" s="1"/>
  <c r="F214" i="4"/>
  <c r="G214" i="4" s="1"/>
  <c r="M7" i="4" s="1"/>
  <c r="F213" i="4"/>
  <c r="G213" i="4" s="1"/>
  <c r="M6" i="4" s="1"/>
  <c r="F212" i="4"/>
  <c r="G212" i="4" s="1"/>
  <c r="M5" i="4" s="1"/>
  <c r="F211" i="4"/>
  <c r="G211" i="4" s="1"/>
  <c r="M4" i="4" s="1"/>
  <c r="F210" i="4"/>
  <c r="G210" i="4" s="1"/>
  <c r="L13" i="4" s="1"/>
  <c r="F209" i="4"/>
  <c r="G209" i="4" s="1"/>
  <c r="L12" i="4" s="1"/>
  <c r="F208" i="4"/>
  <c r="G208" i="4" s="1"/>
  <c r="L11" i="4" s="1"/>
  <c r="F207" i="4"/>
  <c r="G207" i="4" s="1"/>
  <c r="L10" i="4" s="1"/>
  <c r="F206" i="4"/>
  <c r="G206" i="4" s="1"/>
  <c r="L9" i="4" s="1"/>
  <c r="F205" i="4"/>
  <c r="G205" i="4" s="1"/>
  <c r="L8" i="4" s="1"/>
  <c r="F204" i="4"/>
  <c r="G204" i="4" s="1"/>
  <c r="L7" i="4" s="1"/>
  <c r="F203" i="4"/>
  <c r="G203" i="4" s="1"/>
  <c r="L6" i="4" s="1"/>
  <c r="F202" i="4"/>
  <c r="G202" i="4" s="1"/>
  <c r="L5" i="4" s="1"/>
  <c r="F201" i="4"/>
  <c r="G201" i="4" s="1"/>
  <c r="L4" i="4" s="1"/>
  <c r="F200" i="4"/>
  <c r="G200" i="4" s="1"/>
  <c r="K13" i="4" s="1"/>
  <c r="F199" i="4"/>
  <c r="G199" i="4" s="1"/>
  <c r="K12" i="4" s="1"/>
  <c r="F198" i="4"/>
  <c r="G198" i="4" s="1"/>
  <c r="K11" i="4" s="1"/>
  <c r="F197" i="4"/>
  <c r="G197" i="4" s="1"/>
  <c r="K10" i="4" s="1"/>
  <c r="F196" i="4"/>
  <c r="G196" i="4" s="1"/>
  <c r="K9" i="4" s="1"/>
  <c r="F195" i="4"/>
  <c r="G195" i="4" s="1"/>
  <c r="K8" i="4" s="1"/>
  <c r="F194" i="4"/>
  <c r="G194" i="4" s="1"/>
  <c r="K7" i="4" s="1"/>
  <c r="F193" i="4"/>
  <c r="G193" i="4" s="1"/>
  <c r="K6" i="4" s="1"/>
  <c r="F192" i="4"/>
  <c r="G192" i="4" s="1"/>
  <c r="K5" i="4" s="1"/>
  <c r="F191" i="4"/>
  <c r="G191" i="4" s="1"/>
  <c r="K4" i="4" s="1"/>
  <c r="F190" i="4"/>
  <c r="G190" i="4" s="1"/>
  <c r="J13" i="4" s="1"/>
  <c r="F189" i="4"/>
  <c r="G189" i="4" s="1"/>
  <c r="J12" i="4" s="1"/>
  <c r="F188" i="4"/>
  <c r="G188" i="4" s="1"/>
  <c r="J11" i="4" s="1"/>
  <c r="F187" i="4"/>
  <c r="G187" i="4" s="1"/>
  <c r="J10" i="4" s="1"/>
  <c r="F186" i="4"/>
  <c r="G186" i="4" s="1"/>
  <c r="J9" i="4" s="1"/>
  <c r="F185" i="4"/>
  <c r="G185" i="4" s="1"/>
  <c r="J8" i="4" s="1"/>
  <c r="F184" i="4"/>
  <c r="G184" i="4" s="1"/>
  <c r="J7" i="4" s="1"/>
  <c r="F183" i="4"/>
  <c r="G183" i="4" s="1"/>
  <c r="J6" i="4" s="1"/>
  <c r="F182" i="4"/>
  <c r="G182" i="4" s="1"/>
  <c r="J5" i="4" s="1"/>
  <c r="F181" i="4"/>
  <c r="G181" i="4" s="1"/>
  <c r="J4" i="4" s="1"/>
  <c r="F180" i="4"/>
  <c r="G180" i="4" s="1"/>
  <c r="I13" i="4" s="1"/>
  <c r="F179" i="4"/>
  <c r="G179" i="4" s="1"/>
  <c r="I12" i="4" s="1"/>
  <c r="F178" i="4"/>
  <c r="G178" i="4" s="1"/>
  <c r="I11" i="4" s="1"/>
  <c r="F177" i="4"/>
  <c r="G177" i="4" s="1"/>
  <c r="I10" i="4" s="1"/>
  <c r="F176" i="4"/>
  <c r="G176" i="4" s="1"/>
  <c r="I9" i="4" s="1"/>
  <c r="F175" i="4"/>
  <c r="G175" i="4" s="1"/>
  <c r="I8" i="4" s="1"/>
  <c r="F174" i="4"/>
  <c r="G174" i="4" s="1"/>
  <c r="I7" i="4" s="1"/>
  <c r="F173" i="4"/>
  <c r="G173" i="4" s="1"/>
  <c r="I6" i="4" s="1"/>
  <c r="F172" i="4"/>
  <c r="G172" i="4" s="1"/>
  <c r="I5" i="4" s="1"/>
  <c r="F171" i="4"/>
  <c r="G171" i="4" s="1"/>
  <c r="I4" i="4" s="1"/>
  <c r="F170" i="4"/>
  <c r="G170" i="4" s="1"/>
  <c r="H13" i="4" s="1"/>
  <c r="F169" i="4"/>
  <c r="G169" i="4" s="1"/>
  <c r="H12" i="4" s="1"/>
  <c r="F168" i="4"/>
  <c r="G168" i="4" s="1"/>
  <c r="H11" i="4" s="1"/>
  <c r="F167" i="4"/>
  <c r="G167" i="4" s="1"/>
  <c r="H10" i="4" s="1"/>
  <c r="F166" i="4"/>
  <c r="G166" i="4" s="1"/>
  <c r="H9" i="4" s="1"/>
  <c r="F165" i="4"/>
  <c r="G165" i="4" s="1"/>
  <c r="H8" i="4" s="1"/>
  <c r="F164" i="4"/>
  <c r="G164" i="4" s="1"/>
  <c r="H7" i="4" s="1"/>
  <c r="F163" i="4"/>
  <c r="G163" i="4" s="1"/>
  <c r="H6" i="4" s="1"/>
  <c r="F162" i="4"/>
  <c r="G162" i="4" s="1"/>
  <c r="H5" i="4" s="1"/>
  <c r="F161" i="4"/>
  <c r="G161" i="4" s="1"/>
  <c r="H4" i="4" s="1"/>
  <c r="F160" i="4"/>
  <c r="G160" i="4" s="1"/>
  <c r="G13" i="4" s="1"/>
  <c r="F159" i="4"/>
  <c r="G159" i="4" s="1"/>
  <c r="G12" i="4" s="1"/>
  <c r="F158" i="4"/>
  <c r="G158" i="4" s="1"/>
  <c r="G11" i="4" s="1"/>
  <c r="F157" i="4"/>
  <c r="G157" i="4" s="1"/>
  <c r="G10" i="4" s="1"/>
  <c r="F156" i="4"/>
  <c r="G156" i="4" s="1"/>
  <c r="G9" i="4" s="1"/>
  <c r="F155" i="4"/>
  <c r="G155" i="4" s="1"/>
  <c r="G8" i="4" s="1"/>
  <c r="F154" i="4"/>
  <c r="G154" i="4" s="1"/>
  <c r="G7" i="4" s="1"/>
  <c r="F153" i="4"/>
  <c r="G153" i="4" s="1"/>
  <c r="G6" i="4" s="1"/>
  <c r="F152" i="4"/>
  <c r="G152" i="4" s="1"/>
  <c r="G5" i="4" s="1"/>
  <c r="F151" i="4"/>
  <c r="G151" i="4" s="1"/>
  <c r="G4" i="4" s="1"/>
  <c r="F150" i="4"/>
  <c r="G150" i="4" s="1"/>
  <c r="F13" i="4" s="1"/>
  <c r="F149" i="4"/>
  <c r="G149" i="4" s="1"/>
  <c r="F12" i="4" s="1"/>
  <c r="F148" i="4"/>
  <c r="G148" i="4" s="1"/>
  <c r="F11" i="4" s="1"/>
  <c r="F147" i="4"/>
  <c r="G147" i="4" s="1"/>
  <c r="F10" i="4" s="1"/>
  <c r="F146" i="4"/>
  <c r="G146" i="4" s="1"/>
  <c r="F9" i="4" s="1"/>
  <c r="F145" i="4"/>
  <c r="G145" i="4" s="1"/>
  <c r="F8" i="4" s="1"/>
  <c r="F144" i="4"/>
  <c r="G144" i="4" s="1"/>
  <c r="F7" i="4" s="1"/>
  <c r="F143" i="4"/>
  <c r="G143" i="4" s="1"/>
  <c r="F6" i="4" s="1"/>
  <c r="F142" i="4"/>
  <c r="G142" i="4" s="1"/>
  <c r="F5" i="4" s="1"/>
  <c r="F141" i="4"/>
  <c r="G141" i="4" s="1"/>
  <c r="F4" i="4" s="1"/>
  <c r="F140" i="4"/>
  <c r="G140" i="4" s="1"/>
  <c r="E13" i="4" s="1"/>
  <c r="F139" i="4"/>
  <c r="G139" i="4" s="1"/>
  <c r="E12" i="4" s="1"/>
  <c r="F138" i="4"/>
  <c r="G138" i="4" s="1"/>
  <c r="E11" i="4" s="1"/>
  <c r="F137" i="4"/>
  <c r="G137" i="4" s="1"/>
  <c r="E10" i="4" s="1"/>
  <c r="F136" i="4"/>
  <c r="G136" i="4" s="1"/>
  <c r="E9" i="4" s="1"/>
  <c r="F135" i="4"/>
  <c r="G135" i="4" s="1"/>
  <c r="E8" i="4" s="1"/>
  <c r="F134" i="4"/>
  <c r="G134" i="4" s="1"/>
  <c r="E7" i="4" s="1"/>
  <c r="F133" i="4"/>
  <c r="G133" i="4" s="1"/>
  <c r="E6" i="4" s="1"/>
  <c r="F132" i="4"/>
  <c r="G132" i="4" s="1"/>
  <c r="E5" i="4" s="1"/>
  <c r="F131" i="4"/>
  <c r="G131" i="4" s="1"/>
  <c r="E4" i="4" s="1"/>
  <c r="F130" i="4"/>
  <c r="G130" i="4" s="1"/>
  <c r="D13" i="4" s="1"/>
  <c r="F129" i="4"/>
  <c r="G129" i="4" s="1"/>
  <c r="D12" i="4" s="1"/>
  <c r="F128" i="4"/>
  <c r="G128" i="4" s="1"/>
  <c r="D11" i="4" s="1"/>
  <c r="F127" i="4"/>
  <c r="G127" i="4" s="1"/>
  <c r="D10" i="4" s="1"/>
  <c r="F126" i="4"/>
  <c r="G126" i="4" s="1"/>
  <c r="D9" i="4" s="1"/>
  <c r="F125" i="4"/>
  <c r="G125" i="4" s="1"/>
  <c r="D8" i="4" s="1"/>
  <c r="F124" i="4"/>
  <c r="G124" i="4" s="1"/>
  <c r="D7" i="4" s="1"/>
  <c r="F123" i="4"/>
  <c r="G123" i="4" s="1"/>
  <c r="D6" i="4" s="1"/>
  <c r="F122" i="4"/>
  <c r="G122" i="4" s="1"/>
  <c r="D5" i="4" s="1"/>
  <c r="F121" i="4"/>
  <c r="G121" i="4" s="1"/>
  <c r="D4" i="4" s="1"/>
  <c r="F120" i="4"/>
  <c r="G120" i="4" s="1"/>
  <c r="C13" i="4" s="1"/>
  <c r="F119" i="4"/>
  <c r="G119" i="4" s="1"/>
  <c r="C12" i="4" s="1"/>
  <c r="F118" i="4"/>
  <c r="G118" i="4" s="1"/>
  <c r="C11" i="4" s="1"/>
  <c r="F117" i="4"/>
  <c r="G117" i="4" s="1"/>
  <c r="C10" i="4" s="1"/>
  <c r="F116" i="4"/>
  <c r="G116" i="4" s="1"/>
  <c r="C9" i="4" s="1"/>
  <c r="F115" i="4"/>
  <c r="G115" i="4" s="1"/>
  <c r="C8" i="4" s="1"/>
  <c r="F114" i="4"/>
  <c r="G114" i="4" s="1"/>
  <c r="C7" i="4" s="1"/>
  <c r="F113" i="4"/>
  <c r="G113" i="4" s="1"/>
  <c r="C6" i="4" s="1"/>
  <c r="F112" i="4"/>
  <c r="G112" i="4" s="1"/>
  <c r="C5" i="4" s="1"/>
  <c r="F111" i="4"/>
  <c r="G111" i="4" s="1"/>
  <c r="C4" i="4" s="1"/>
  <c r="F110" i="4"/>
  <c r="G110" i="4" s="1"/>
  <c r="B13" i="4" s="1"/>
  <c r="F109" i="4"/>
  <c r="G109" i="4" s="1"/>
  <c r="B12" i="4" s="1"/>
  <c r="F108" i="4"/>
  <c r="G108" i="4" s="1"/>
  <c r="B11" i="4" s="1"/>
  <c r="F107" i="4"/>
  <c r="G107" i="4" s="1"/>
  <c r="B10" i="4" s="1"/>
  <c r="F106" i="4"/>
  <c r="G106" i="4" s="1"/>
  <c r="B9" i="4" s="1"/>
  <c r="F105" i="4"/>
  <c r="G105" i="4" s="1"/>
  <c r="B8" i="4" s="1"/>
  <c r="F104" i="4"/>
  <c r="G104" i="4" s="1"/>
  <c r="B7" i="4" s="1"/>
  <c r="F103" i="4"/>
  <c r="G103" i="4" s="1"/>
  <c r="B6" i="4" s="1"/>
  <c r="K44" i="4"/>
  <c r="J44" i="4"/>
  <c r="I44" i="4"/>
  <c r="H44" i="4"/>
  <c r="G44" i="4"/>
  <c r="F44" i="4"/>
  <c r="E44" i="4"/>
  <c r="D44" i="4"/>
  <c r="C44" i="4"/>
  <c r="B44" i="4"/>
  <c r="K43" i="4"/>
  <c r="J43" i="4"/>
  <c r="I43" i="4"/>
  <c r="H43" i="4"/>
  <c r="G43" i="4"/>
  <c r="F43" i="4"/>
  <c r="E43" i="4"/>
  <c r="D43" i="4"/>
  <c r="C43" i="4"/>
  <c r="B43" i="4"/>
  <c r="K42" i="4"/>
  <c r="J42" i="4"/>
  <c r="I42" i="4"/>
  <c r="H42" i="4"/>
  <c r="G42" i="4"/>
  <c r="F42" i="4"/>
  <c r="E42" i="4"/>
  <c r="D42" i="4"/>
  <c r="C42" i="4"/>
  <c r="B42" i="4"/>
  <c r="K41" i="4"/>
  <c r="J41" i="4"/>
  <c r="I41" i="4"/>
  <c r="H41" i="4"/>
  <c r="G41" i="4"/>
  <c r="F41" i="4"/>
  <c r="E41" i="4"/>
  <c r="D41" i="4"/>
  <c r="C41" i="4"/>
  <c r="B41" i="4"/>
  <c r="K40" i="4"/>
  <c r="J40" i="4"/>
  <c r="I40" i="4"/>
  <c r="H40" i="4"/>
  <c r="G40" i="4"/>
  <c r="F40" i="4"/>
  <c r="E40" i="4"/>
  <c r="D40" i="4"/>
  <c r="C40" i="4"/>
  <c r="B40" i="4"/>
  <c r="K39" i="4"/>
  <c r="J39" i="4"/>
  <c r="I39" i="4"/>
  <c r="H39" i="4"/>
  <c r="G39" i="4"/>
  <c r="F39" i="4"/>
  <c r="E39" i="4"/>
  <c r="D39" i="4"/>
  <c r="C39" i="4"/>
  <c r="B39" i="4"/>
  <c r="K38" i="4"/>
  <c r="J38" i="4"/>
  <c r="I38" i="4"/>
  <c r="H38" i="4"/>
  <c r="G38" i="4"/>
  <c r="F38" i="4"/>
  <c r="E38" i="4"/>
  <c r="D38" i="4"/>
  <c r="C38" i="4"/>
  <c r="B38" i="4"/>
  <c r="K37" i="4"/>
  <c r="J37" i="4"/>
  <c r="I37" i="4"/>
  <c r="H37" i="4"/>
  <c r="G37" i="4"/>
  <c r="F37" i="4"/>
  <c r="E37" i="4"/>
  <c r="D37" i="4"/>
  <c r="C37" i="4"/>
  <c r="B37" i="4"/>
  <c r="K36" i="4"/>
  <c r="J36" i="4"/>
  <c r="I36" i="4"/>
  <c r="H36" i="4"/>
  <c r="G36" i="4"/>
  <c r="F36" i="4"/>
  <c r="E36" i="4"/>
  <c r="D36" i="4"/>
  <c r="C36" i="4"/>
  <c r="B36" i="4"/>
  <c r="L35" i="4"/>
  <c r="K35" i="4"/>
  <c r="J35" i="4"/>
  <c r="I35" i="4"/>
  <c r="H35" i="4"/>
  <c r="G35" i="4"/>
  <c r="F35" i="4"/>
  <c r="E35" i="4"/>
  <c r="D35" i="4"/>
  <c r="C35" i="4"/>
  <c r="I10" i="2"/>
  <c r="B24" i="2"/>
  <c r="B23" i="2"/>
  <c r="D23" i="2"/>
  <c r="D22" i="2"/>
  <c r="B22" i="2"/>
  <c r="Z6" i="2"/>
  <c r="U6" i="2"/>
  <c r="V6" i="2"/>
  <c r="W6" i="2"/>
  <c r="X6" i="2"/>
  <c r="Y6" i="2"/>
  <c r="AA6" i="2"/>
  <c r="AB6" i="2"/>
  <c r="U7" i="2"/>
  <c r="V7" i="2"/>
  <c r="W7" i="2"/>
  <c r="X7" i="2"/>
  <c r="Y7" i="2"/>
  <c r="Z7" i="2"/>
  <c r="AA7" i="2"/>
  <c r="AB7" i="2"/>
  <c r="U8" i="2"/>
  <c r="V8" i="2"/>
  <c r="W8" i="2"/>
  <c r="X8" i="2"/>
  <c r="Y8" i="2"/>
  <c r="Z8" i="2"/>
  <c r="AA8" i="2"/>
  <c r="AB8" i="2"/>
  <c r="U9" i="2"/>
  <c r="V9" i="2"/>
  <c r="W9" i="2"/>
  <c r="X9" i="2"/>
  <c r="Y9" i="2"/>
  <c r="Z9" i="2"/>
  <c r="AA9" i="2"/>
  <c r="AB9" i="2"/>
  <c r="U10" i="2"/>
  <c r="V10" i="2"/>
  <c r="W10" i="2"/>
  <c r="X10" i="2"/>
  <c r="Y10" i="2"/>
  <c r="Z10" i="2"/>
  <c r="AA10" i="2"/>
  <c r="AB10" i="2"/>
  <c r="U11" i="2"/>
  <c r="V11" i="2"/>
  <c r="W11" i="2"/>
  <c r="X11" i="2"/>
  <c r="Y11" i="2"/>
  <c r="Z11" i="2"/>
  <c r="AA11" i="2"/>
  <c r="AB11" i="2"/>
  <c r="U12" i="2"/>
  <c r="V12" i="2"/>
  <c r="W12" i="2"/>
  <c r="X12" i="2"/>
  <c r="Y12" i="2"/>
  <c r="Z12" i="2"/>
  <c r="AA12" i="2"/>
  <c r="AB12" i="2"/>
  <c r="U13" i="2"/>
  <c r="V13" i="2"/>
  <c r="W13" i="2"/>
  <c r="X13" i="2"/>
  <c r="Y13" i="2"/>
  <c r="Z13" i="2"/>
  <c r="AA13" i="2"/>
  <c r="AB13" i="2"/>
  <c r="U14" i="2"/>
  <c r="V14" i="2"/>
  <c r="W14" i="2"/>
  <c r="X14" i="2"/>
  <c r="Y14" i="2"/>
  <c r="Z14" i="2"/>
  <c r="AA14" i="2"/>
  <c r="AB14" i="2"/>
  <c r="V5" i="2"/>
  <c r="W5" i="2"/>
  <c r="X5" i="2"/>
  <c r="Y5" i="2"/>
  <c r="Z5" i="2"/>
  <c r="AA5" i="2"/>
  <c r="AB5" i="2"/>
  <c r="U5" i="2"/>
  <c r="B12" i="2"/>
  <c r="B36" i="3"/>
  <c r="C36" i="3"/>
  <c r="D36" i="3"/>
  <c r="E36" i="3"/>
  <c r="F36" i="3"/>
  <c r="G36" i="3"/>
  <c r="H36" i="3"/>
  <c r="I36" i="3"/>
  <c r="J36" i="3"/>
  <c r="K36" i="3"/>
  <c r="L36" i="3"/>
  <c r="B37" i="3"/>
  <c r="C37" i="3"/>
  <c r="D37" i="3"/>
  <c r="E37" i="3"/>
  <c r="F37" i="3"/>
  <c r="G37" i="3"/>
  <c r="H37" i="3"/>
  <c r="I37" i="3"/>
  <c r="J37" i="3"/>
  <c r="K37" i="3"/>
  <c r="L37" i="3"/>
  <c r="B38" i="3"/>
  <c r="C38" i="3"/>
  <c r="D38" i="3"/>
  <c r="E38" i="3"/>
  <c r="F38" i="3"/>
  <c r="G38" i="3"/>
  <c r="H38" i="3"/>
  <c r="I38" i="3"/>
  <c r="J38" i="3"/>
  <c r="K38" i="3"/>
  <c r="L38" i="3"/>
  <c r="B39" i="3"/>
  <c r="C39" i="3"/>
  <c r="D39" i="3"/>
  <c r="E39" i="3"/>
  <c r="F39" i="3"/>
  <c r="G39" i="3"/>
  <c r="H39" i="3"/>
  <c r="I39" i="3"/>
  <c r="J39" i="3"/>
  <c r="K39" i="3"/>
  <c r="L39" i="3"/>
  <c r="B40" i="3"/>
  <c r="C40" i="3"/>
  <c r="D40" i="3"/>
  <c r="E40" i="3"/>
  <c r="F40" i="3"/>
  <c r="G40" i="3"/>
  <c r="H40" i="3"/>
  <c r="I40" i="3"/>
  <c r="J40" i="3"/>
  <c r="K40" i="3"/>
  <c r="L40" i="3"/>
  <c r="B41" i="3"/>
  <c r="C41" i="3"/>
  <c r="D41" i="3"/>
  <c r="E41" i="3"/>
  <c r="F41" i="3"/>
  <c r="G41" i="3"/>
  <c r="H41" i="3"/>
  <c r="I41" i="3"/>
  <c r="J41" i="3"/>
  <c r="K41" i="3"/>
  <c r="L41" i="3"/>
  <c r="B42" i="3"/>
  <c r="C42" i="3"/>
  <c r="D42" i="3"/>
  <c r="E42" i="3"/>
  <c r="F42" i="3"/>
  <c r="G42" i="3"/>
  <c r="H42" i="3"/>
  <c r="I42" i="3"/>
  <c r="J42" i="3"/>
  <c r="K42" i="3"/>
  <c r="L42" i="3"/>
  <c r="B43" i="3"/>
  <c r="C43" i="3"/>
  <c r="D43" i="3"/>
  <c r="E43" i="3"/>
  <c r="F43" i="3"/>
  <c r="G43" i="3"/>
  <c r="H43" i="3"/>
  <c r="I43" i="3"/>
  <c r="J43" i="3"/>
  <c r="K43" i="3"/>
  <c r="L43" i="3"/>
  <c r="B44" i="3"/>
  <c r="C44" i="3"/>
  <c r="D44" i="3"/>
  <c r="E44" i="3"/>
  <c r="F44" i="3"/>
  <c r="G44" i="3"/>
  <c r="H44" i="3"/>
  <c r="I44" i="3"/>
  <c r="J44" i="3"/>
  <c r="K44" i="3"/>
  <c r="L44" i="3"/>
  <c r="L35" i="3"/>
  <c r="K35" i="3"/>
  <c r="J35" i="3"/>
  <c r="I35" i="3"/>
  <c r="H35" i="3"/>
  <c r="G35" i="3"/>
  <c r="F35" i="3"/>
  <c r="E35" i="3"/>
  <c r="D35" i="3"/>
  <c r="C35" i="3"/>
  <c r="B35" i="3"/>
  <c r="B7" i="2"/>
  <c r="Q6" i="2" s="1"/>
  <c r="F71" i="3"/>
  <c r="G71" i="3" s="1"/>
  <c r="B5" i="3" s="1"/>
  <c r="F72" i="3"/>
  <c r="G72" i="3" s="1"/>
  <c r="B6" i="3" s="1"/>
  <c r="F73" i="3"/>
  <c r="G73" i="3" s="1"/>
  <c r="B7" i="3" s="1"/>
  <c r="F74" i="3"/>
  <c r="G74" i="3" s="1"/>
  <c r="B8" i="3" s="1"/>
  <c r="F75" i="3"/>
  <c r="G75" i="3"/>
  <c r="B9" i="3" s="1"/>
  <c r="F76" i="3"/>
  <c r="G76" i="3" s="1"/>
  <c r="B10" i="3" s="1"/>
  <c r="F77" i="3"/>
  <c r="G77" i="3" s="1"/>
  <c r="B11" i="3" s="1"/>
  <c r="F78" i="3"/>
  <c r="G78" i="3" s="1"/>
  <c r="B12" i="3" s="1"/>
  <c r="F79" i="3"/>
  <c r="G79" i="3" s="1"/>
  <c r="B13" i="3" s="1"/>
  <c r="F80" i="3"/>
  <c r="G80" i="3" s="1"/>
  <c r="C4" i="3" s="1"/>
  <c r="F81" i="3"/>
  <c r="G81" i="3" s="1"/>
  <c r="C5" i="3" s="1"/>
  <c r="F82" i="3"/>
  <c r="G82" i="3" s="1"/>
  <c r="C6" i="3" s="1"/>
  <c r="F83" i="3"/>
  <c r="G83" i="3" s="1"/>
  <c r="C7" i="3" s="1"/>
  <c r="F84" i="3"/>
  <c r="G84" i="3" s="1"/>
  <c r="C8" i="3" s="1"/>
  <c r="F85" i="3"/>
  <c r="G85" i="3" s="1"/>
  <c r="C9" i="3" s="1"/>
  <c r="F86" i="3"/>
  <c r="G86" i="3" s="1"/>
  <c r="C10" i="3" s="1"/>
  <c r="F87" i="3"/>
  <c r="G87" i="3" s="1"/>
  <c r="C11" i="3" s="1"/>
  <c r="F88" i="3"/>
  <c r="G88" i="3" s="1"/>
  <c r="C12" i="3" s="1"/>
  <c r="F89" i="3"/>
  <c r="G89" i="3" s="1"/>
  <c r="C13" i="3" s="1"/>
  <c r="F90" i="3"/>
  <c r="G90" i="3" s="1"/>
  <c r="D4" i="3" s="1"/>
  <c r="F91" i="3"/>
  <c r="G91" i="3" s="1"/>
  <c r="D5" i="3" s="1"/>
  <c r="F92" i="3"/>
  <c r="G92" i="3" s="1"/>
  <c r="D6" i="3" s="1"/>
  <c r="F93" i="3"/>
  <c r="G93" i="3" s="1"/>
  <c r="D7" i="3" s="1"/>
  <c r="F94" i="3"/>
  <c r="G94" i="3" s="1"/>
  <c r="D8" i="3" s="1"/>
  <c r="F95" i="3"/>
  <c r="G95" i="3" s="1"/>
  <c r="D9" i="3" s="1"/>
  <c r="F96" i="3"/>
  <c r="G96" i="3" s="1"/>
  <c r="D10" i="3" s="1"/>
  <c r="F97" i="3"/>
  <c r="G97" i="3" s="1"/>
  <c r="D11" i="3" s="1"/>
  <c r="F98" i="3"/>
  <c r="G98" i="3" s="1"/>
  <c r="D12" i="3" s="1"/>
  <c r="F99" i="3"/>
  <c r="G99" i="3" s="1"/>
  <c r="D13" i="3" s="1"/>
  <c r="F100" i="3"/>
  <c r="G100" i="3" s="1"/>
  <c r="E4" i="3" s="1"/>
  <c r="F101" i="3"/>
  <c r="G101" i="3" s="1"/>
  <c r="E5" i="3" s="1"/>
  <c r="F102" i="3"/>
  <c r="G102" i="3" s="1"/>
  <c r="E6" i="3" s="1"/>
  <c r="F103" i="3"/>
  <c r="G103" i="3" s="1"/>
  <c r="E7" i="3" s="1"/>
  <c r="F104" i="3"/>
  <c r="G104" i="3" s="1"/>
  <c r="E8" i="3" s="1"/>
  <c r="F105" i="3"/>
  <c r="G105" i="3" s="1"/>
  <c r="E9" i="3" s="1"/>
  <c r="F106" i="3"/>
  <c r="G106" i="3" s="1"/>
  <c r="E10" i="3" s="1"/>
  <c r="F107" i="3"/>
  <c r="G107" i="3" s="1"/>
  <c r="E11" i="3" s="1"/>
  <c r="F108" i="3"/>
  <c r="G108" i="3" s="1"/>
  <c r="E12" i="3" s="1"/>
  <c r="F109" i="3"/>
  <c r="G109" i="3" s="1"/>
  <c r="E13" i="3" s="1"/>
  <c r="F110" i="3"/>
  <c r="G110" i="3" s="1"/>
  <c r="F4" i="3" s="1"/>
  <c r="F111" i="3"/>
  <c r="G111" i="3" s="1"/>
  <c r="F5" i="3" s="1"/>
  <c r="F112" i="3"/>
  <c r="G112" i="3" s="1"/>
  <c r="F6" i="3" s="1"/>
  <c r="F113" i="3"/>
  <c r="G113" i="3" s="1"/>
  <c r="F7" i="3" s="1"/>
  <c r="F114" i="3"/>
  <c r="G114" i="3" s="1"/>
  <c r="F8" i="3" s="1"/>
  <c r="F115" i="3"/>
  <c r="G115" i="3" s="1"/>
  <c r="F9" i="3" s="1"/>
  <c r="F116" i="3"/>
  <c r="G116" i="3" s="1"/>
  <c r="F10" i="3" s="1"/>
  <c r="F117" i="3"/>
  <c r="G117" i="3" s="1"/>
  <c r="F11" i="3" s="1"/>
  <c r="F118" i="3"/>
  <c r="G118" i="3" s="1"/>
  <c r="F12" i="3" s="1"/>
  <c r="F119" i="3"/>
  <c r="G119" i="3" s="1"/>
  <c r="F13" i="3" s="1"/>
  <c r="F120" i="3"/>
  <c r="G120" i="3" s="1"/>
  <c r="G4" i="3" s="1"/>
  <c r="F121" i="3"/>
  <c r="G121" i="3" s="1"/>
  <c r="G5" i="3" s="1"/>
  <c r="F122" i="3"/>
  <c r="G122" i="3" s="1"/>
  <c r="G6" i="3" s="1"/>
  <c r="F123" i="3"/>
  <c r="G123" i="3" s="1"/>
  <c r="G7" i="3" s="1"/>
  <c r="F124" i="3"/>
  <c r="G124" i="3" s="1"/>
  <c r="G8" i="3" s="1"/>
  <c r="F125" i="3"/>
  <c r="G125" i="3" s="1"/>
  <c r="G9" i="3" s="1"/>
  <c r="F126" i="3"/>
  <c r="G126" i="3" s="1"/>
  <c r="G10" i="3" s="1"/>
  <c r="F127" i="3"/>
  <c r="G127" i="3" s="1"/>
  <c r="G11" i="3" s="1"/>
  <c r="F128" i="3"/>
  <c r="G128" i="3" s="1"/>
  <c r="G12" i="3" s="1"/>
  <c r="F129" i="3"/>
  <c r="G129" i="3" s="1"/>
  <c r="G13" i="3" s="1"/>
  <c r="F130" i="3"/>
  <c r="G130" i="3" s="1"/>
  <c r="H4" i="3" s="1"/>
  <c r="F131" i="3"/>
  <c r="G131" i="3" s="1"/>
  <c r="H5" i="3" s="1"/>
  <c r="F132" i="3"/>
  <c r="G132" i="3" s="1"/>
  <c r="H6" i="3" s="1"/>
  <c r="F133" i="3"/>
  <c r="G133" i="3" s="1"/>
  <c r="H7" i="3" s="1"/>
  <c r="F134" i="3"/>
  <c r="G134" i="3"/>
  <c r="H8" i="3" s="1"/>
  <c r="F135" i="3"/>
  <c r="G135" i="3" s="1"/>
  <c r="H9" i="3" s="1"/>
  <c r="F136" i="3"/>
  <c r="G136" i="3" s="1"/>
  <c r="H10" i="3" s="1"/>
  <c r="F137" i="3"/>
  <c r="G137" i="3" s="1"/>
  <c r="H11" i="3" s="1"/>
  <c r="F138" i="3"/>
  <c r="G138" i="3" s="1"/>
  <c r="H12" i="3" s="1"/>
  <c r="F139" i="3"/>
  <c r="G139" i="3" s="1"/>
  <c r="H13" i="3" s="1"/>
  <c r="F140" i="3"/>
  <c r="G140" i="3" s="1"/>
  <c r="I4" i="3" s="1"/>
  <c r="F141" i="3"/>
  <c r="G141" i="3" s="1"/>
  <c r="I5" i="3" s="1"/>
  <c r="F142" i="3"/>
  <c r="G142" i="3" s="1"/>
  <c r="I6" i="3" s="1"/>
  <c r="F143" i="3"/>
  <c r="G143" i="3" s="1"/>
  <c r="I7" i="3" s="1"/>
  <c r="F144" i="3"/>
  <c r="G144" i="3"/>
  <c r="I8" i="3" s="1"/>
  <c r="F145" i="3"/>
  <c r="G145" i="3" s="1"/>
  <c r="I9" i="3" s="1"/>
  <c r="F146" i="3"/>
  <c r="G146" i="3" s="1"/>
  <c r="I10" i="3" s="1"/>
  <c r="F147" i="3"/>
  <c r="G147" i="3" s="1"/>
  <c r="I11" i="3" s="1"/>
  <c r="F148" i="3"/>
  <c r="G148" i="3" s="1"/>
  <c r="I12" i="3" s="1"/>
  <c r="F149" i="3"/>
  <c r="G149" i="3" s="1"/>
  <c r="I13" i="3" s="1"/>
  <c r="F150" i="3"/>
  <c r="G150" i="3" s="1"/>
  <c r="J4" i="3" s="1"/>
  <c r="F151" i="3"/>
  <c r="G151" i="3" s="1"/>
  <c r="J5" i="3" s="1"/>
  <c r="F152" i="3"/>
  <c r="G152" i="3" s="1"/>
  <c r="J6" i="3" s="1"/>
  <c r="F153" i="3"/>
  <c r="G153" i="3" s="1"/>
  <c r="J7" i="3" s="1"/>
  <c r="F154" i="3"/>
  <c r="G154" i="3" s="1"/>
  <c r="J8" i="3" s="1"/>
  <c r="F155" i="3"/>
  <c r="G155" i="3"/>
  <c r="J9" i="3" s="1"/>
  <c r="F156" i="3"/>
  <c r="G156" i="3" s="1"/>
  <c r="J10" i="3" s="1"/>
  <c r="F157" i="3"/>
  <c r="G157" i="3" s="1"/>
  <c r="J11" i="3" s="1"/>
  <c r="F158" i="3"/>
  <c r="G158" i="3" s="1"/>
  <c r="J12" i="3" s="1"/>
  <c r="F159" i="3"/>
  <c r="G159" i="3" s="1"/>
  <c r="J13" i="3" s="1"/>
  <c r="F160" i="3"/>
  <c r="G160" i="3" s="1"/>
  <c r="K4" i="3" s="1"/>
  <c r="F161" i="3"/>
  <c r="G161" i="3" s="1"/>
  <c r="K5" i="3" s="1"/>
  <c r="F162" i="3"/>
  <c r="G162" i="3" s="1"/>
  <c r="K6" i="3" s="1"/>
  <c r="F163" i="3"/>
  <c r="G163" i="3" s="1"/>
  <c r="K7" i="3" s="1"/>
  <c r="F164" i="3"/>
  <c r="G164" i="3" s="1"/>
  <c r="K8" i="3" s="1"/>
  <c r="F165" i="3"/>
  <c r="G165" i="3" s="1"/>
  <c r="K9" i="3" s="1"/>
  <c r="F166" i="3"/>
  <c r="G166" i="3" s="1"/>
  <c r="K10" i="3" s="1"/>
  <c r="F167" i="3"/>
  <c r="G167" i="3" s="1"/>
  <c r="K11" i="3" s="1"/>
  <c r="F168" i="3"/>
  <c r="G168" i="3" s="1"/>
  <c r="K12" i="3" s="1"/>
  <c r="F169" i="3"/>
  <c r="G169" i="3"/>
  <c r="K13" i="3" s="1"/>
  <c r="F170" i="3"/>
  <c r="G170" i="3" s="1"/>
  <c r="L4" i="3" s="1"/>
  <c r="F171" i="3"/>
  <c r="G171" i="3" s="1"/>
  <c r="L5" i="3" s="1"/>
  <c r="F172" i="3"/>
  <c r="G172" i="3" s="1"/>
  <c r="L6" i="3" s="1"/>
  <c r="F173" i="3"/>
  <c r="G173" i="3" s="1"/>
  <c r="L7" i="3" s="1"/>
  <c r="F174" i="3"/>
  <c r="G174" i="3"/>
  <c r="L8" i="3" s="1"/>
  <c r="F175" i="3"/>
  <c r="G175" i="3" s="1"/>
  <c r="L9" i="3" s="1"/>
  <c r="F176" i="3"/>
  <c r="G176" i="3" s="1"/>
  <c r="L10" i="3" s="1"/>
  <c r="F177" i="3"/>
  <c r="G177" i="3" s="1"/>
  <c r="L11" i="3" s="1"/>
  <c r="F178" i="3"/>
  <c r="G178" i="3" s="1"/>
  <c r="L12" i="3" s="1"/>
  <c r="F179" i="3"/>
  <c r="G179" i="3"/>
  <c r="L13" i="3" s="1"/>
  <c r="F70" i="3"/>
  <c r="G70" i="3" s="1"/>
  <c r="B4" i="3" s="1"/>
  <c r="D3" i="2"/>
  <c r="D4" i="2"/>
  <c r="B11" i="1"/>
  <c r="B10" i="1"/>
  <c r="B3" i="1"/>
  <c r="B22" i="7" l="1"/>
  <c r="D22" i="7" s="1"/>
  <c r="Q11" i="7"/>
  <c r="Q13" i="7"/>
  <c r="R9" i="7"/>
  <c r="R13" i="7"/>
  <c r="R7" i="7"/>
  <c r="R11" i="7"/>
  <c r="R6" i="7"/>
  <c r="Q8" i="7"/>
  <c r="R12" i="7"/>
  <c r="B23" i="7"/>
  <c r="D23" i="7" s="1"/>
  <c r="Q5" i="7"/>
  <c r="Q6" i="7"/>
  <c r="Q10" i="7"/>
  <c r="R8" i="7"/>
  <c r="R10" i="7"/>
  <c r="Q12" i="7"/>
  <c r="Q14" i="7"/>
  <c r="R14" i="7"/>
  <c r="R5" i="7"/>
  <c r="Q7" i="7"/>
  <c r="Q9" i="7"/>
  <c r="R11" i="2"/>
  <c r="Q11" i="2"/>
  <c r="R10" i="2"/>
  <c r="Q10" i="2"/>
  <c r="Q5" i="2"/>
  <c r="R9" i="2"/>
  <c r="R5" i="2"/>
  <c r="Q9" i="2"/>
  <c r="R14" i="2"/>
  <c r="R8" i="2"/>
  <c r="Q14" i="2"/>
  <c r="Q8" i="2"/>
  <c r="R13" i="2"/>
  <c r="R7" i="2"/>
  <c r="Q13" i="2"/>
  <c r="Q7" i="2"/>
  <c r="R12" i="2"/>
  <c r="R6" i="2"/>
  <c r="Q12" i="2"/>
  <c r="B16" i="2"/>
  <c r="I14" i="7" l="1"/>
  <c r="O13" i="7"/>
  <c r="I12" i="7"/>
  <c r="J10" i="7"/>
  <c r="J8" i="7"/>
  <c r="K6" i="7"/>
  <c r="M9" i="7"/>
  <c r="M5" i="7"/>
  <c r="J13" i="7"/>
  <c r="K9" i="7"/>
  <c r="O14" i="7"/>
  <c r="I13" i="7"/>
  <c r="O12" i="7"/>
  <c r="J11" i="7"/>
  <c r="J9" i="7"/>
  <c r="N14" i="7"/>
  <c r="H13" i="7"/>
  <c r="N12" i="7"/>
  <c r="I11" i="7"/>
  <c r="O10" i="7"/>
  <c r="I9" i="7"/>
  <c r="O8" i="7"/>
  <c r="I7" i="7"/>
  <c r="J5" i="7"/>
  <c r="M14" i="7"/>
  <c r="M12" i="7"/>
  <c r="H11" i="7"/>
  <c r="N10" i="7"/>
  <c r="H9" i="7"/>
  <c r="N8" i="7"/>
  <c r="H7" i="7"/>
  <c r="O6" i="7"/>
  <c r="I5" i="7"/>
  <c r="L14" i="7"/>
  <c r="L12" i="7"/>
  <c r="M10" i="7"/>
  <c r="M8" i="7"/>
  <c r="N6" i="7"/>
  <c r="H5" i="7"/>
  <c r="K14" i="7"/>
  <c r="K12" i="7"/>
  <c r="L10" i="7"/>
  <c r="L8" i="7"/>
  <c r="M6" i="7"/>
  <c r="J14" i="7"/>
  <c r="J12" i="7"/>
  <c r="K10" i="7"/>
  <c r="K8" i="7"/>
  <c r="L6" i="7"/>
  <c r="H14" i="7"/>
  <c r="N13" i="7"/>
  <c r="H12" i="7"/>
  <c r="O11" i="7"/>
  <c r="I10" i="7"/>
  <c r="O9" i="7"/>
  <c r="I8" i="7"/>
  <c r="O7" i="7"/>
  <c r="J6" i="7"/>
  <c r="M13" i="7"/>
  <c r="N11" i="7"/>
  <c r="H10" i="7"/>
  <c r="N9" i="7"/>
  <c r="H8" i="7"/>
  <c r="N7" i="7"/>
  <c r="I6" i="7"/>
  <c r="O5" i="7"/>
  <c r="L13" i="7"/>
  <c r="M11" i="7"/>
  <c r="M7" i="7"/>
  <c r="H6" i="7"/>
  <c r="N5" i="7"/>
  <c r="K13" i="7"/>
  <c r="L11" i="7"/>
  <c r="L9" i="7"/>
  <c r="L7" i="7"/>
  <c r="K11" i="7"/>
  <c r="K7" i="7"/>
  <c r="L5" i="7"/>
  <c r="K5" i="7"/>
  <c r="O14" i="2"/>
  <c r="K13" i="2"/>
  <c r="O11" i="2"/>
  <c r="K10" i="2"/>
  <c r="O8" i="2"/>
  <c r="K7" i="2"/>
  <c r="O5" i="2"/>
  <c r="M11" i="2"/>
  <c r="I7" i="2"/>
  <c r="K11" i="2"/>
  <c r="K8" i="2"/>
  <c r="K5" i="2"/>
  <c r="N12" i="2"/>
  <c r="J5" i="2"/>
  <c r="I11" i="2"/>
  <c r="L9" i="2"/>
  <c r="H5" i="2"/>
  <c r="K9" i="2"/>
  <c r="N13" i="2"/>
  <c r="M13" i="2"/>
  <c r="I9" i="2"/>
  <c r="I6" i="2"/>
  <c r="H12" i="2"/>
  <c r="L7" i="2"/>
  <c r="N14" i="2"/>
  <c r="J13" i="2"/>
  <c r="N11" i="2"/>
  <c r="J10" i="2"/>
  <c r="N8" i="2"/>
  <c r="J7" i="2"/>
  <c r="N5" i="2"/>
  <c r="I13" i="2"/>
  <c r="M8" i="2"/>
  <c r="M5" i="2"/>
  <c r="O12" i="2"/>
  <c r="O9" i="2"/>
  <c r="O6" i="2"/>
  <c r="J11" i="2"/>
  <c r="M9" i="2"/>
  <c r="I5" i="2"/>
  <c r="L12" i="2"/>
  <c r="O10" i="2"/>
  <c r="K6" i="2"/>
  <c r="N10" i="2"/>
  <c r="N7" i="2"/>
  <c r="I12" i="2"/>
  <c r="M10" i="2"/>
  <c r="M7" i="2"/>
  <c r="M14" i="2"/>
  <c r="N9" i="2"/>
  <c r="M12" i="2"/>
  <c r="H11" i="2"/>
  <c r="K12" i="2"/>
  <c r="L13" i="2"/>
  <c r="L10" i="2"/>
  <c r="H6" i="2"/>
  <c r="L14" i="2"/>
  <c r="H13" i="2"/>
  <c r="L11" i="2"/>
  <c r="H10" i="2"/>
  <c r="L8" i="2"/>
  <c r="H7" i="2"/>
  <c r="L5" i="2"/>
  <c r="K14" i="2"/>
  <c r="J14" i="2"/>
  <c r="J8" i="2"/>
  <c r="N6" i="2"/>
  <c r="I14" i="2"/>
  <c r="I8" i="2"/>
  <c r="M6" i="2"/>
  <c r="H14" i="2"/>
  <c r="H8" i="2"/>
  <c r="L6" i="2"/>
  <c r="O13" i="2"/>
  <c r="O7" i="2"/>
  <c r="J12" i="2"/>
  <c r="J9" i="2"/>
  <c r="J6" i="2"/>
  <c r="H9" i="2"/>
</calcChain>
</file>

<file path=xl/sharedStrings.xml><?xml version="1.0" encoding="utf-8"?>
<sst xmlns="http://schemas.openxmlformats.org/spreadsheetml/2006/main" count="180" uniqueCount="85">
  <si>
    <t>diameter</t>
  </si>
  <si>
    <t>m</t>
  </si>
  <si>
    <t>area</t>
  </si>
  <si>
    <t>m2</t>
  </si>
  <si>
    <t>pressure</t>
  </si>
  <si>
    <t>pa</t>
  </si>
  <si>
    <t>temp</t>
  </si>
  <si>
    <t>gamma</t>
  </si>
  <si>
    <t>R</t>
  </si>
  <si>
    <t>K</t>
  </si>
  <si>
    <t>J/kg*K</t>
  </si>
  <si>
    <t>choked mdot</t>
  </si>
  <si>
    <t>kg/s</t>
  </si>
  <si>
    <t>scfm</t>
  </si>
  <si>
    <t>chatgpt for CGA 580</t>
  </si>
  <si>
    <t>Power Requirement</t>
  </si>
  <si>
    <t>Thrust</t>
  </si>
  <si>
    <t>Chamber Pressure</t>
  </si>
  <si>
    <t>bar</t>
  </si>
  <si>
    <t>psi</t>
  </si>
  <si>
    <t>Thrust Coefficient</t>
  </si>
  <si>
    <t>lbf</t>
  </si>
  <si>
    <t>kN</t>
  </si>
  <si>
    <t>Mass Flow</t>
  </si>
  <si>
    <t>C-Star</t>
  </si>
  <si>
    <t>m/s</t>
  </si>
  <si>
    <t>Pressure [bar]</t>
  </si>
  <si>
    <t>Gamma</t>
  </si>
  <si>
    <t>Temperature [K]</t>
  </si>
  <si>
    <t>Mol Weight [g/mol]</t>
  </si>
  <si>
    <t>Gas Constant [J/kg*K]</t>
  </si>
  <si>
    <t>Chamber</t>
  </si>
  <si>
    <t>OF</t>
  </si>
  <si>
    <t>Throat</t>
  </si>
  <si>
    <t>OF Ratio</t>
  </si>
  <si>
    <t>Pump Efficiency</t>
  </si>
  <si>
    <t>Tank Pressure</t>
  </si>
  <si>
    <t>Fuel Density</t>
  </si>
  <si>
    <t>Ox Density</t>
  </si>
  <si>
    <t>kg/m3</t>
  </si>
  <si>
    <t>75% ethanol</t>
  </si>
  <si>
    <t>C-Star [m/s]</t>
  </si>
  <si>
    <t>Prop Density</t>
  </si>
  <si>
    <t>kW</t>
  </si>
  <si>
    <t>RPM</t>
  </si>
  <si>
    <t>Diameter (cm)</t>
  </si>
  <si>
    <t>GG Mass Flow (kg/s)</t>
  </si>
  <si>
    <t>10% CC</t>
  </si>
  <si>
    <t>1% CC</t>
  </si>
  <si>
    <t>Rotor Density</t>
  </si>
  <si>
    <t>Rotor Poissons</t>
  </si>
  <si>
    <t>Rotor Burst Stress (MPa)</t>
  </si>
  <si>
    <t>inco 718</t>
  </si>
  <si>
    <t>Inco 718 @ 950K</t>
  </si>
  <si>
    <t>Runtime</t>
  </si>
  <si>
    <t>s</t>
  </si>
  <si>
    <t>Fuel Tank Volume</t>
  </si>
  <si>
    <t>m3</t>
  </si>
  <si>
    <t>gallons</t>
  </si>
  <si>
    <t>Ox Tank Volume</t>
  </si>
  <si>
    <t>Fuel Price</t>
  </si>
  <si>
    <t>$</t>
  </si>
  <si>
    <t>purchase link</t>
  </si>
  <si>
    <t>https://www.lindedirect.com/store/product-detail/oxygen-(o2)-oxygen-liquid-usp-lc180-230-psi/ox-mlc180-230</t>
  </si>
  <si>
    <t>https://www.airnav.com/fuel/local.html</t>
  </si>
  <si>
    <t>C Star [bar]</t>
  </si>
  <si>
    <t>C Star [m/s]</t>
  </si>
  <si>
    <t>Jet-A average</t>
  </si>
  <si>
    <t>Specific Heat Ratio</t>
  </si>
  <si>
    <t>mdot</t>
  </si>
  <si>
    <t>inch</t>
  </si>
  <si>
    <t>mm</t>
  </si>
  <si>
    <t>mm2</t>
  </si>
  <si>
    <t>density</t>
  </si>
  <si>
    <t>static pressure</t>
  </si>
  <si>
    <t>saturation pressure</t>
  </si>
  <si>
    <t>velocity</t>
  </si>
  <si>
    <t>cavitation</t>
  </si>
  <si>
    <t>yield strength</t>
  </si>
  <si>
    <t>mpa</t>
  </si>
  <si>
    <t>fsy</t>
  </si>
  <si>
    <t>yield allow</t>
  </si>
  <si>
    <t>radius</t>
  </si>
  <si>
    <t>required thickness</t>
  </si>
  <si>
    <t>10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</si>
</sst>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8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66" fontId="0" fillId="0" borderId="0" xfId="0" applyNumberFormat="1"/>
    <xf numFmtId="1" fontId="0" fillId="0" borderId="0" xfId="0" applyNumberFormat="1"/>
    <xf numFmtId="2" fontId="0" fillId="0" borderId="1" xfId="0" applyNumberFormat="1" applyBorder="1"/>
    <xf numFmtId="164" fontId="0" fillId="2" borderId="4" xfId="0" applyNumberFormat="1" applyFill="1" applyBorder="1"/>
    <xf numFmtId="164" fontId="0" fillId="2" borderId="5" xfId="0" applyNumberFormat="1" applyFill="1" applyBorder="1"/>
    <xf numFmtId="164" fontId="0" fillId="2" borderId="6" xfId="0" applyNumberFormat="1" applyFill="1" applyBorder="1"/>
    <xf numFmtId="164" fontId="0" fillId="0" borderId="1" xfId="0" applyNumberFormat="1" applyBorder="1"/>
    <xf numFmtId="2" fontId="0" fillId="0" borderId="7" xfId="0" applyNumberFormat="1" applyBorder="1"/>
    <xf numFmtId="164" fontId="0" fillId="0" borderId="8" xfId="0" applyNumberFormat="1" applyBorder="1"/>
    <xf numFmtId="2" fontId="0" fillId="0" borderId="9" xfId="0" applyNumberFormat="1" applyBorder="1"/>
    <xf numFmtId="1" fontId="0" fillId="0" borderId="9" xfId="0" applyNumberFormat="1" applyBorder="1"/>
    <xf numFmtId="2" fontId="0" fillId="0" borderId="10" xfId="0" applyNumberFormat="1" applyBorder="1"/>
    <xf numFmtId="1" fontId="0" fillId="2" borderId="4" xfId="0" applyNumberFormat="1" applyFill="1" applyBorder="1"/>
    <xf numFmtId="1" fontId="0" fillId="0" borderId="1" xfId="0" applyNumberFormat="1" applyBorder="1"/>
    <xf numFmtId="1" fontId="0" fillId="0" borderId="8" xfId="0" applyNumberFormat="1" applyBorder="1"/>
    <xf numFmtId="164" fontId="0" fillId="0" borderId="9" xfId="0" applyNumberFormat="1" applyBorder="1"/>
    <xf numFmtId="164" fontId="0" fillId="2" borderId="2" xfId="0" applyNumberFormat="1" applyFill="1" applyBorder="1"/>
    <xf numFmtId="1" fontId="0" fillId="0" borderId="7" xfId="0" applyNumberFormat="1" applyBorder="1"/>
    <xf numFmtId="1" fontId="0" fillId="0" borderId="10" xfId="0" applyNumberFormat="1" applyBorder="1"/>
    <xf numFmtId="164" fontId="0" fillId="0" borderId="7" xfId="0" applyNumberFormat="1" applyBorder="1"/>
    <xf numFmtId="164" fontId="0" fillId="0" borderId="10" xfId="0" applyNumberFormat="1" applyBorder="1"/>
    <xf numFmtId="2" fontId="0" fillId="3" borderId="5" xfId="0" applyNumberFormat="1" applyFill="1" applyBorder="1"/>
    <xf numFmtId="1" fontId="0" fillId="3" borderId="0" xfId="0" applyNumberFormat="1" applyFill="1"/>
    <xf numFmtId="164" fontId="0" fillId="3" borderId="0" xfId="0" applyNumberFormat="1" applyFill="1"/>
    <xf numFmtId="2" fontId="0" fillId="3" borderId="0" xfId="0" applyNumberFormat="1" applyFill="1"/>
    <xf numFmtId="0" fontId="0" fillId="0" borderId="4" xfId="0" applyBorder="1"/>
    <xf numFmtId="0" fontId="0" fillId="0" borderId="5" xfId="0" applyBorder="1"/>
    <xf numFmtId="1" fontId="0" fillId="0" borderId="5" xfId="0" applyNumberFormat="1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165" fontId="0" fillId="0" borderId="9" xfId="0" applyNumberFormat="1" applyBorder="1"/>
    <xf numFmtId="0" fontId="0" fillId="0" borderId="9" xfId="0" applyBorder="1"/>
    <xf numFmtId="0" fontId="0" fillId="0" borderId="10" xfId="0" applyBorder="1"/>
    <xf numFmtId="1" fontId="3" fillId="0" borderId="0" xfId="0" applyNumberFormat="1" applyFont="1"/>
    <xf numFmtId="1" fontId="0" fillId="0" borderId="4" xfId="0" applyNumberFormat="1" applyBorder="1"/>
    <xf numFmtId="1" fontId="0" fillId="0" borderId="6" xfId="0" applyNumberFormat="1" applyBorder="1"/>
    <xf numFmtId="165" fontId="0" fillId="0" borderId="0" xfId="0" applyNumberFormat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8" xfId="0" applyNumberFormat="1" applyBorder="1"/>
    <xf numFmtId="0" fontId="0" fillId="4" borderId="0" xfId="0" applyFill="1"/>
    <xf numFmtId="0" fontId="2" fillId="0" borderId="0" xfId="0" applyFont="1"/>
    <xf numFmtId="2" fontId="0" fillId="5" borderId="0" xfId="0" applyNumberFormat="1" applyFill="1"/>
    <xf numFmtId="0" fontId="0" fillId="4" borderId="4" xfId="0" applyFill="1" applyBorder="1"/>
    <xf numFmtId="0" fontId="0" fillId="4" borderId="5" xfId="0" applyFill="1" applyBorder="1"/>
    <xf numFmtId="0" fontId="0" fillId="4" borderId="1" xfId="0" applyFill="1" applyBorder="1"/>
    <xf numFmtId="164" fontId="0" fillId="0" borderId="5" xfId="0" applyNumberFormat="1" applyBorder="1"/>
    <xf numFmtId="0" fontId="1" fillId="0" borderId="0" xfId="0" applyFont="1"/>
    <xf numFmtId="0" fontId="5" fillId="0" borderId="0" xfId="1"/>
    <xf numFmtId="164" fontId="0" fillId="2" borderId="3" xfId="0" applyNumberFormat="1" applyFill="1" applyBorder="1"/>
    <xf numFmtId="164" fontId="0" fillId="2" borderId="11" xfId="0" applyNumberFormat="1" applyFill="1" applyBorder="1"/>
    <xf numFmtId="164" fontId="0" fillId="2" borderId="12" xfId="0" applyNumberFormat="1" applyFill="1" applyBorder="1"/>
    <xf numFmtId="164" fontId="0" fillId="2" borderId="13" xfId="0" applyNumberFormat="1" applyFill="1" applyBorder="1"/>
    <xf numFmtId="2" fontId="0" fillId="6" borderId="0" xfId="0" applyNumberFormat="1" applyFill="1"/>
    <xf numFmtId="2" fontId="0" fillId="6" borderId="5" xfId="0" applyNumberFormat="1" applyFill="1" applyBorder="1"/>
    <xf numFmtId="1" fontId="0" fillId="6" borderId="0" xfId="0" applyNumberFormat="1" applyFill="1"/>
    <xf numFmtId="164" fontId="0" fillId="6" borderId="0" xfId="0" applyNumberFormat="1" applyFill="1"/>
    <xf numFmtId="1" fontId="0" fillId="5" borderId="0" xfId="0" applyNumberFormat="1" applyFill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5" fontId="0" fillId="0" borderId="1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10" xfId="0" applyNumberFormat="1" applyBorder="1"/>
    <xf numFmtId="0" fontId="0" fillId="4" borderId="8" xfId="0" applyFill="1" applyBorder="1"/>
    <xf numFmtId="2" fontId="1" fillId="6" borderId="5" xfId="0" applyNumberFormat="1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'Jet-A CEA'!$A$35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CEA'!$B$34:$U$34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CEA'!$B$35:$U$35</c:f>
              <c:numCache>
                <c:formatCode>0</c:formatCode>
                <c:ptCount val="20"/>
                <c:pt idx="0">
                  <c:v>968.98</c:v>
                </c:pt>
                <c:pt idx="1">
                  <c:v>1101.3</c:v>
                </c:pt>
                <c:pt idx="2">
                  <c:v>1197.7</c:v>
                </c:pt>
                <c:pt idx="3">
                  <c:v>1304.8</c:v>
                </c:pt>
                <c:pt idx="4">
                  <c:v>1457.1</c:v>
                </c:pt>
                <c:pt idx="5">
                  <c:v>1732.8</c:v>
                </c:pt>
                <c:pt idx="6">
                  <c:v>2257.8000000000002</c:v>
                </c:pt>
                <c:pt idx="7">
                  <c:v>2678.7</c:v>
                </c:pt>
                <c:pt idx="8">
                  <c:v>2983.4</c:v>
                </c:pt>
                <c:pt idx="9">
                  <c:v>3183.8</c:v>
                </c:pt>
                <c:pt idx="10">
                  <c:v>3301.8</c:v>
                </c:pt>
                <c:pt idx="11">
                  <c:v>3364.9</c:v>
                </c:pt>
                <c:pt idx="12">
                  <c:v>3395.6</c:v>
                </c:pt>
                <c:pt idx="13">
                  <c:v>3407.8</c:v>
                </c:pt>
                <c:pt idx="14">
                  <c:v>3409.2</c:v>
                </c:pt>
                <c:pt idx="15">
                  <c:v>3403.8</c:v>
                </c:pt>
                <c:pt idx="16">
                  <c:v>3394</c:v>
                </c:pt>
                <c:pt idx="17">
                  <c:v>3381.4</c:v>
                </c:pt>
                <c:pt idx="18">
                  <c:v>3366.8</c:v>
                </c:pt>
                <c:pt idx="19">
                  <c:v>3350.7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83-4D14-B936-77D6948C1483}"/>
            </c:ext>
          </c:extLst>
        </c:ser>
        <c:ser>
          <c:idx val="1"/>
          <c:order val="1"/>
          <c:tx>
            <c:strRef>
              <c:f>'Jet-A CEA'!$A$36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CEA'!$B$34:$U$34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CEA'!$B$36:$U$36</c:f>
              <c:numCache>
                <c:formatCode>0</c:formatCode>
                <c:ptCount val="20"/>
                <c:pt idx="0">
                  <c:v>1005.2</c:v>
                </c:pt>
                <c:pt idx="1">
                  <c:v>1145.9000000000001</c:v>
                </c:pt>
                <c:pt idx="2">
                  <c:v>1245.4000000000001</c:v>
                </c:pt>
                <c:pt idx="3">
                  <c:v>1349.6</c:v>
                </c:pt>
                <c:pt idx="4">
                  <c:v>1487.4</c:v>
                </c:pt>
                <c:pt idx="5">
                  <c:v>1735</c:v>
                </c:pt>
                <c:pt idx="6">
                  <c:v>2260.5</c:v>
                </c:pt>
                <c:pt idx="7">
                  <c:v>2694.2</c:v>
                </c:pt>
                <c:pt idx="8">
                  <c:v>3021</c:v>
                </c:pt>
                <c:pt idx="9">
                  <c:v>3244.8</c:v>
                </c:pt>
                <c:pt idx="10">
                  <c:v>3381.6</c:v>
                </c:pt>
                <c:pt idx="11">
                  <c:v>3456.3</c:v>
                </c:pt>
                <c:pt idx="12">
                  <c:v>3493.3</c:v>
                </c:pt>
                <c:pt idx="13">
                  <c:v>3508.5</c:v>
                </c:pt>
                <c:pt idx="14">
                  <c:v>3510.9</c:v>
                </c:pt>
                <c:pt idx="15">
                  <c:v>3505.4</c:v>
                </c:pt>
                <c:pt idx="16">
                  <c:v>3495</c:v>
                </c:pt>
                <c:pt idx="17">
                  <c:v>3481.2</c:v>
                </c:pt>
                <c:pt idx="18">
                  <c:v>3465.1</c:v>
                </c:pt>
                <c:pt idx="19">
                  <c:v>3447.3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83-4D14-B936-77D6948C1483}"/>
            </c:ext>
          </c:extLst>
        </c:ser>
        <c:ser>
          <c:idx val="2"/>
          <c:order val="2"/>
          <c:tx>
            <c:strRef>
              <c:f>'Jet-A CEA'!$A$37</c:f>
              <c:strCache>
                <c:ptCount val="1"/>
                <c:pt idx="0">
                  <c:v>30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CEA'!$B$34:$U$34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CEA'!$B$37:$U$37</c:f>
              <c:numCache>
                <c:formatCode>0</c:formatCode>
                <c:ptCount val="20"/>
                <c:pt idx="0">
                  <c:v>1026.7</c:v>
                </c:pt>
                <c:pt idx="1">
                  <c:v>1173.3</c:v>
                </c:pt>
                <c:pt idx="2">
                  <c:v>1275.2</c:v>
                </c:pt>
                <c:pt idx="3">
                  <c:v>1378.5</c:v>
                </c:pt>
                <c:pt idx="4">
                  <c:v>1509.4</c:v>
                </c:pt>
                <c:pt idx="5">
                  <c:v>1738.4</c:v>
                </c:pt>
                <c:pt idx="6">
                  <c:v>2261.6999999999998</c:v>
                </c:pt>
                <c:pt idx="7">
                  <c:v>2701.6</c:v>
                </c:pt>
                <c:pt idx="8">
                  <c:v>3040.4</c:v>
                </c:pt>
                <c:pt idx="9">
                  <c:v>3278.3</c:v>
                </c:pt>
                <c:pt idx="10">
                  <c:v>3427.1</c:v>
                </c:pt>
                <c:pt idx="11">
                  <c:v>3509.8</c:v>
                </c:pt>
                <c:pt idx="12">
                  <c:v>3551.2</c:v>
                </c:pt>
                <c:pt idx="13">
                  <c:v>3568.5</c:v>
                </c:pt>
                <c:pt idx="14">
                  <c:v>3571.7</c:v>
                </c:pt>
                <c:pt idx="15">
                  <c:v>3566.3</c:v>
                </c:pt>
                <c:pt idx="16">
                  <c:v>3555.4</c:v>
                </c:pt>
                <c:pt idx="17">
                  <c:v>3540.9</c:v>
                </c:pt>
                <c:pt idx="18">
                  <c:v>3523.8</c:v>
                </c:pt>
                <c:pt idx="19">
                  <c:v>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83-4D14-B936-77D6948C1483}"/>
            </c:ext>
          </c:extLst>
        </c:ser>
        <c:ser>
          <c:idx val="3"/>
          <c:order val="3"/>
          <c:tx>
            <c:strRef>
              <c:f>'Jet-A CEA'!$A$38</c:f>
              <c:strCache>
                <c:ptCount val="1"/>
                <c:pt idx="0">
                  <c:v>40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CEA'!$B$34:$U$34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CEA'!$B$38:$U$38</c:f>
              <c:numCache>
                <c:formatCode>0</c:formatCode>
                <c:ptCount val="20"/>
                <c:pt idx="0">
                  <c:v>1042</c:v>
                </c:pt>
                <c:pt idx="1">
                  <c:v>1193.2</c:v>
                </c:pt>
                <c:pt idx="2">
                  <c:v>1297.2</c:v>
                </c:pt>
                <c:pt idx="3">
                  <c:v>1400.2</c:v>
                </c:pt>
                <c:pt idx="4">
                  <c:v>1527</c:v>
                </c:pt>
                <c:pt idx="5">
                  <c:v>1742.5</c:v>
                </c:pt>
                <c:pt idx="6">
                  <c:v>2262.5</c:v>
                </c:pt>
                <c:pt idx="7">
                  <c:v>2706.3</c:v>
                </c:pt>
                <c:pt idx="8">
                  <c:v>3053.1</c:v>
                </c:pt>
                <c:pt idx="9">
                  <c:v>3300.9</c:v>
                </c:pt>
                <c:pt idx="10">
                  <c:v>3458.7</c:v>
                </c:pt>
                <c:pt idx="11">
                  <c:v>3547.6</c:v>
                </c:pt>
                <c:pt idx="12">
                  <c:v>3592.5</c:v>
                </c:pt>
                <c:pt idx="13">
                  <c:v>3611.5</c:v>
                </c:pt>
                <c:pt idx="14">
                  <c:v>3615.4</c:v>
                </c:pt>
                <c:pt idx="15">
                  <c:v>3610.1</c:v>
                </c:pt>
                <c:pt idx="16">
                  <c:v>3598.9</c:v>
                </c:pt>
                <c:pt idx="17">
                  <c:v>3583.8</c:v>
                </c:pt>
                <c:pt idx="18">
                  <c:v>3566</c:v>
                </c:pt>
                <c:pt idx="19">
                  <c:v>3546.5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83-4D14-B936-77D6948C1483}"/>
            </c:ext>
          </c:extLst>
        </c:ser>
        <c:ser>
          <c:idx val="4"/>
          <c:order val="4"/>
          <c:tx>
            <c:strRef>
              <c:f>'Jet-A CEA'!$A$39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CEA'!$B$34:$U$34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CEA'!$B$39:$U$39</c:f>
              <c:numCache>
                <c:formatCode>0</c:formatCode>
                <c:ptCount val="20"/>
                <c:pt idx="0">
                  <c:v>1053.8</c:v>
                </c:pt>
                <c:pt idx="1">
                  <c:v>1209</c:v>
                </c:pt>
                <c:pt idx="2">
                  <c:v>1314.7</c:v>
                </c:pt>
                <c:pt idx="3">
                  <c:v>1417.7</c:v>
                </c:pt>
                <c:pt idx="4">
                  <c:v>1541.7</c:v>
                </c:pt>
                <c:pt idx="5">
                  <c:v>1747</c:v>
                </c:pt>
                <c:pt idx="6">
                  <c:v>2263</c:v>
                </c:pt>
                <c:pt idx="7">
                  <c:v>2709.5</c:v>
                </c:pt>
                <c:pt idx="8">
                  <c:v>3062.2</c:v>
                </c:pt>
                <c:pt idx="9">
                  <c:v>3317.7</c:v>
                </c:pt>
                <c:pt idx="10">
                  <c:v>3482.8</c:v>
                </c:pt>
                <c:pt idx="11">
                  <c:v>3576.8</c:v>
                </c:pt>
                <c:pt idx="12">
                  <c:v>3624.6</c:v>
                </c:pt>
                <c:pt idx="13">
                  <c:v>3645.1</c:v>
                </c:pt>
                <c:pt idx="14">
                  <c:v>3649.6</c:v>
                </c:pt>
                <c:pt idx="15">
                  <c:v>3644.3</c:v>
                </c:pt>
                <c:pt idx="16">
                  <c:v>3632.9</c:v>
                </c:pt>
                <c:pt idx="17">
                  <c:v>3617.4</c:v>
                </c:pt>
                <c:pt idx="18">
                  <c:v>3599.1</c:v>
                </c:pt>
                <c:pt idx="19">
                  <c:v>3578.8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83-4D14-B936-77D6948C1483}"/>
            </c:ext>
          </c:extLst>
        </c:ser>
        <c:ser>
          <c:idx val="5"/>
          <c:order val="5"/>
          <c:tx>
            <c:strRef>
              <c:f>'Jet-A CEA'!$A$40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CEA'!$B$34:$U$34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CEA'!$B$40:$U$40</c:f>
              <c:numCache>
                <c:formatCode>0</c:formatCode>
                <c:ptCount val="20"/>
                <c:pt idx="0">
                  <c:v>1063.5</c:v>
                </c:pt>
                <c:pt idx="1">
                  <c:v>1222</c:v>
                </c:pt>
                <c:pt idx="2">
                  <c:v>1329.2</c:v>
                </c:pt>
                <c:pt idx="3">
                  <c:v>1432.4</c:v>
                </c:pt>
                <c:pt idx="4">
                  <c:v>1554.4</c:v>
                </c:pt>
                <c:pt idx="5">
                  <c:v>1751.9</c:v>
                </c:pt>
                <c:pt idx="6">
                  <c:v>2263.4</c:v>
                </c:pt>
                <c:pt idx="7">
                  <c:v>2712</c:v>
                </c:pt>
                <c:pt idx="8">
                  <c:v>3069.3</c:v>
                </c:pt>
                <c:pt idx="9">
                  <c:v>3331</c:v>
                </c:pt>
                <c:pt idx="10">
                  <c:v>3502.1</c:v>
                </c:pt>
                <c:pt idx="11">
                  <c:v>3600.5</c:v>
                </c:pt>
                <c:pt idx="12">
                  <c:v>3650.9</c:v>
                </c:pt>
                <c:pt idx="13">
                  <c:v>3672.7</c:v>
                </c:pt>
                <c:pt idx="14">
                  <c:v>3677.7</c:v>
                </c:pt>
                <c:pt idx="15">
                  <c:v>3672.5</c:v>
                </c:pt>
                <c:pt idx="16">
                  <c:v>3660.9</c:v>
                </c:pt>
                <c:pt idx="17">
                  <c:v>3645</c:v>
                </c:pt>
                <c:pt idx="18">
                  <c:v>3626.3</c:v>
                </c:pt>
                <c:pt idx="19">
                  <c:v>3605.5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83-4D14-B936-77D6948C1483}"/>
            </c:ext>
          </c:extLst>
        </c:ser>
        <c:ser>
          <c:idx val="6"/>
          <c:order val="6"/>
          <c:tx>
            <c:strRef>
              <c:f>'Jet-A CEA'!$A$41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CEA'!$B$34:$U$34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CEA'!$B$41:$U$41</c:f>
              <c:numCache>
                <c:formatCode>0</c:formatCode>
                <c:ptCount val="20"/>
                <c:pt idx="0">
                  <c:v>1071.7</c:v>
                </c:pt>
                <c:pt idx="1">
                  <c:v>1233.2</c:v>
                </c:pt>
                <c:pt idx="2">
                  <c:v>1341.8</c:v>
                </c:pt>
                <c:pt idx="3">
                  <c:v>1445.2</c:v>
                </c:pt>
                <c:pt idx="4">
                  <c:v>1565.6</c:v>
                </c:pt>
                <c:pt idx="5">
                  <c:v>1756.8</c:v>
                </c:pt>
                <c:pt idx="6">
                  <c:v>2263.6999999999998</c:v>
                </c:pt>
                <c:pt idx="7">
                  <c:v>2713.9</c:v>
                </c:pt>
                <c:pt idx="8">
                  <c:v>3075</c:v>
                </c:pt>
                <c:pt idx="9">
                  <c:v>3341.9</c:v>
                </c:pt>
                <c:pt idx="10">
                  <c:v>3518.2</c:v>
                </c:pt>
                <c:pt idx="11">
                  <c:v>3620.5</c:v>
                </c:pt>
                <c:pt idx="12">
                  <c:v>3673.1</c:v>
                </c:pt>
                <c:pt idx="13">
                  <c:v>3696.1</c:v>
                </c:pt>
                <c:pt idx="14">
                  <c:v>3701.6</c:v>
                </c:pt>
                <c:pt idx="15">
                  <c:v>3696.5</c:v>
                </c:pt>
                <c:pt idx="16">
                  <c:v>3684.7</c:v>
                </c:pt>
                <c:pt idx="17">
                  <c:v>3668.5</c:v>
                </c:pt>
                <c:pt idx="18">
                  <c:v>3649.4</c:v>
                </c:pt>
                <c:pt idx="19">
                  <c:v>3628.1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D83-4D14-B936-77D6948C1483}"/>
            </c:ext>
          </c:extLst>
        </c:ser>
        <c:ser>
          <c:idx val="7"/>
          <c:order val="7"/>
          <c:tx>
            <c:strRef>
              <c:f>'Jet-A CEA'!$A$42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CEA'!$B$34:$U$34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CEA'!$B$42:$U$42</c:f>
              <c:numCache>
                <c:formatCode>0</c:formatCode>
                <c:ptCount val="20"/>
                <c:pt idx="0">
                  <c:v>1078.7</c:v>
                </c:pt>
                <c:pt idx="1">
                  <c:v>1242.9000000000001</c:v>
                </c:pt>
                <c:pt idx="2">
                  <c:v>1352.8</c:v>
                </c:pt>
                <c:pt idx="3">
                  <c:v>1456.4</c:v>
                </c:pt>
                <c:pt idx="4">
                  <c:v>1575.7</c:v>
                </c:pt>
                <c:pt idx="5">
                  <c:v>1761.8</c:v>
                </c:pt>
                <c:pt idx="6">
                  <c:v>2264</c:v>
                </c:pt>
                <c:pt idx="7">
                  <c:v>2715.5</c:v>
                </c:pt>
                <c:pt idx="8">
                  <c:v>3079.7</c:v>
                </c:pt>
                <c:pt idx="9">
                  <c:v>3351</c:v>
                </c:pt>
                <c:pt idx="10">
                  <c:v>3531.9</c:v>
                </c:pt>
                <c:pt idx="11">
                  <c:v>3637.7</c:v>
                </c:pt>
                <c:pt idx="12">
                  <c:v>3692.4</c:v>
                </c:pt>
                <c:pt idx="13">
                  <c:v>3716.4</c:v>
                </c:pt>
                <c:pt idx="14">
                  <c:v>3722.4</c:v>
                </c:pt>
                <c:pt idx="15">
                  <c:v>3717.3</c:v>
                </c:pt>
                <c:pt idx="16">
                  <c:v>3705.4</c:v>
                </c:pt>
                <c:pt idx="17">
                  <c:v>3689</c:v>
                </c:pt>
                <c:pt idx="18">
                  <c:v>3669.4</c:v>
                </c:pt>
                <c:pt idx="19">
                  <c:v>3647.8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D83-4D14-B936-77D6948C1483}"/>
            </c:ext>
          </c:extLst>
        </c:ser>
        <c:ser>
          <c:idx val="8"/>
          <c:order val="8"/>
          <c:tx>
            <c:strRef>
              <c:f>'Jet-A CEA'!$A$43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CEA'!$B$34:$U$34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CEA'!$B$43:$U$43</c:f>
              <c:numCache>
                <c:formatCode>0</c:formatCode>
                <c:ptCount val="20"/>
                <c:pt idx="0">
                  <c:v>1084.9000000000001</c:v>
                </c:pt>
                <c:pt idx="1">
                  <c:v>1251.5999999999999</c:v>
                </c:pt>
                <c:pt idx="2">
                  <c:v>1362.6</c:v>
                </c:pt>
                <c:pt idx="3">
                  <c:v>1466.5</c:v>
                </c:pt>
                <c:pt idx="4">
                  <c:v>1584.8</c:v>
                </c:pt>
                <c:pt idx="5">
                  <c:v>1766.7</c:v>
                </c:pt>
                <c:pt idx="6">
                  <c:v>2264.3000000000002</c:v>
                </c:pt>
                <c:pt idx="7">
                  <c:v>2716.8</c:v>
                </c:pt>
                <c:pt idx="8">
                  <c:v>3083.7</c:v>
                </c:pt>
                <c:pt idx="9">
                  <c:v>3358.9</c:v>
                </c:pt>
                <c:pt idx="10">
                  <c:v>3543.8</c:v>
                </c:pt>
                <c:pt idx="11">
                  <c:v>3652.8</c:v>
                </c:pt>
                <c:pt idx="12">
                  <c:v>3709.4</c:v>
                </c:pt>
                <c:pt idx="13">
                  <c:v>3734.4</c:v>
                </c:pt>
                <c:pt idx="14">
                  <c:v>3740.7</c:v>
                </c:pt>
                <c:pt idx="15">
                  <c:v>3735.8</c:v>
                </c:pt>
                <c:pt idx="16">
                  <c:v>3723.8</c:v>
                </c:pt>
                <c:pt idx="17">
                  <c:v>3707.1</c:v>
                </c:pt>
                <c:pt idx="18">
                  <c:v>3687.2</c:v>
                </c:pt>
                <c:pt idx="19">
                  <c:v>3665.2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D83-4D14-B936-77D6948C1483}"/>
            </c:ext>
          </c:extLst>
        </c:ser>
        <c:ser>
          <c:idx val="9"/>
          <c:order val="9"/>
          <c:tx>
            <c:strRef>
              <c:f>'Jet-A CEA'!$A$44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CEA'!$B$34:$U$34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CEA'!$B$44:$U$44</c:f>
              <c:numCache>
                <c:formatCode>0</c:formatCode>
                <c:ptCount val="20"/>
                <c:pt idx="0">
                  <c:v>1090.4000000000001</c:v>
                </c:pt>
                <c:pt idx="1">
                  <c:v>1259.4000000000001</c:v>
                </c:pt>
                <c:pt idx="2">
                  <c:v>1371.5</c:v>
                </c:pt>
                <c:pt idx="3">
                  <c:v>1475.7</c:v>
                </c:pt>
                <c:pt idx="4">
                  <c:v>1593.2</c:v>
                </c:pt>
                <c:pt idx="5">
                  <c:v>1771.5</c:v>
                </c:pt>
                <c:pt idx="6">
                  <c:v>2264.5</c:v>
                </c:pt>
                <c:pt idx="7">
                  <c:v>2717.9</c:v>
                </c:pt>
                <c:pt idx="8">
                  <c:v>3087.1</c:v>
                </c:pt>
                <c:pt idx="9">
                  <c:v>3365.8</c:v>
                </c:pt>
                <c:pt idx="10">
                  <c:v>3554.4</c:v>
                </c:pt>
                <c:pt idx="11">
                  <c:v>3666.2</c:v>
                </c:pt>
                <c:pt idx="12">
                  <c:v>3724.6</c:v>
                </c:pt>
                <c:pt idx="13">
                  <c:v>3750.5</c:v>
                </c:pt>
                <c:pt idx="14">
                  <c:v>3757.2</c:v>
                </c:pt>
                <c:pt idx="15">
                  <c:v>3752.4</c:v>
                </c:pt>
                <c:pt idx="16">
                  <c:v>3740.2</c:v>
                </c:pt>
                <c:pt idx="17">
                  <c:v>3723.3</c:v>
                </c:pt>
                <c:pt idx="18">
                  <c:v>3703.2</c:v>
                </c:pt>
                <c:pt idx="19">
                  <c:v>3680.8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D83-4D14-B936-77D6948C1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777663"/>
        <c:axId val="1410778143"/>
      </c:scatterChart>
      <c:valAx>
        <c:axId val="1410777663"/>
        <c:scaling>
          <c:orientation val="minMax"/>
          <c:max val="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OF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778143"/>
        <c:crosses val="autoZero"/>
        <c:crossBetween val="midCat"/>
      </c:valAx>
      <c:valAx>
        <c:axId val="14107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Chamber 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777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'Jet-A CEA'!$A$4</c:f>
              <c:strCache>
                <c:ptCount val="1"/>
                <c:pt idx="0">
                  <c:v>10 bar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CEA'!$B$3:$U$3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CEA'!$B$4:$U$4</c:f>
              <c:numCache>
                <c:formatCode>0</c:formatCode>
                <c:ptCount val="20"/>
                <c:pt idx="0">
                  <c:v>1333.4148885762704</c:v>
                </c:pt>
                <c:pt idx="1">
                  <c:v>1408.7735149918719</c:v>
                </c:pt>
                <c:pt idx="2">
                  <c:v>1407.0463989022574</c:v>
                </c:pt>
                <c:pt idx="3">
                  <c:v>1391.5290672487292</c:v>
                </c:pt>
                <c:pt idx="4">
                  <c:v>1384.0362234975987</c:v>
                </c:pt>
                <c:pt idx="5">
                  <c:v>1433.6635460716748</c:v>
                </c:pt>
                <c:pt idx="6">
                  <c:v>1586.1731975154721</c:v>
                </c:pt>
                <c:pt idx="7">
                  <c:v>1686.1186510700277</c:v>
                </c:pt>
                <c:pt idx="8">
                  <c:v>1744.0892903427398</c:v>
                </c:pt>
                <c:pt idx="9">
                  <c:v>1769.7882446628603</c:v>
                </c:pt>
                <c:pt idx="10">
                  <c:v>1773.0544928606137</c:v>
                </c:pt>
                <c:pt idx="11">
                  <c:v>1763.2636119545277</c:v>
                </c:pt>
                <c:pt idx="12">
                  <c:v>1747.427926303955</c:v>
                </c:pt>
                <c:pt idx="13">
                  <c:v>1729.3627549411881</c:v>
                </c:pt>
                <c:pt idx="14">
                  <c:v>1710.8283802670164</c:v>
                </c:pt>
                <c:pt idx="15">
                  <c:v>1692.5409993653559</c:v>
                </c:pt>
                <c:pt idx="16">
                  <c:v>1674.9108037783576</c:v>
                </c:pt>
                <c:pt idx="17">
                  <c:v>1657.9902976309595</c:v>
                </c:pt>
                <c:pt idx="18">
                  <c:v>1641.950974868668</c:v>
                </c:pt>
                <c:pt idx="19">
                  <c:v>1626.551468398163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77-4F1F-906F-6CE3EE968026}"/>
            </c:ext>
          </c:extLst>
        </c:ser>
        <c:ser>
          <c:idx val="1"/>
          <c:order val="1"/>
          <c:tx>
            <c:strRef>
              <c:f>'Jet-A CEA'!$A$5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CEA'!$B$3:$U$3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CEA'!$B$5:$U$5</c:f>
              <c:numCache>
                <c:formatCode>0</c:formatCode>
                <c:ptCount val="20"/>
                <c:pt idx="0">
                  <c:v>1339.6685634391952</c:v>
                </c:pt>
                <c:pt idx="1">
                  <c:v>1417.3826998999193</c:v>
                </c:pt>
                <c:pt idx="2">
                  <c:v>1419.1977536581128</c:v>
                </c:pt>
                <c:pt idx="3">
                  <c:v>1405.8050665674268</c:v>
                </c:pt>
                <c:pt idx="4">
                  <c:v>1396.1625739872889</c:v>
                </c:pt>
                <c:pt idx="5">
                  <c:v>1434.8483372187673</c:v>
                </c:pt>
                <c:pt idx="6">
                  <c:v>1585.6049479031672</c:v>
                </c:pt>
                <c:pt idx="7">
                  <c:v>1686.2365461077118</c:v>
                </c:pt>
                <c:pt idx="8">
                  <c:v>1747.6207203076829</c:v>
                </c:pt>
                <c:pt idx="9">
                  <c:v>1777.7303894589049</c:v>
                </c:pt>
                <c:pt idx="10">
                  <c:v>1784.8076258944441</c:v>
                </c:pt>
                <c:pt idx="11">
                  <c:v>1777.1961894290428</c:v>
                </c:pt>
                <c:pt idx="12">
                  <c:v>1762.3236189237716</c:v>
                </c:pt>
                <c:pt idx="13">
                  <c:v>1744.5950800153696</c:v>
                </c:pt>
                <c:pt idx="14">
                  <c:v>1726.1401635296736</c:v>
                </c:pt>
                <c:pt idx="15">
                  <c:v>1707.7490595774238</c:v>
                </c:pt>
                <c:pt idx="16">
                  <c:v>1689.8971780066101</c:v>
                </c:pt>
                <c:pt idx="17">
                  <c:v>1672.7793563178841</c:v>
                </c:pt>
                <c:pt idx="18">
                  <c:v>1656.4578202816374</c:v>
                </c:pt>
                <c:pt idx="19">
                  <c:v>1640.7343722155567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77-4F1F-906F-6CE3EE968026}"/>
            </c:ext>
          </c:extLst>
        </c:ser>
        <c:ser>
          <c:idx val="2"/>
          <c:order val="2"/>
          <c:tx>
            <c:strRef>
              <c:f>'Jet-A CEA'!$A$6</c:f>
              <c:strCache>
                <c:ptCount val="1"/>
                <c:pt idx="0">
                  <c:v>30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CEA'!$B$3:$U$3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CEA'!$B$6:$U$6</c:f>
              <c:numCache>
                <c:formatCode>0</c:formatCode>
                <c:ptCount val="20"/>
                <c:pt idx="0">
                  <c:v>1343.0407656285947</c:v>
                </c:pt>
                <c:pt idx="1">
                  <c:v>1422.1757985431323</c:v>
                </c:pt>
                <c:pt idx="2">
                  <c:v>1425.850838127323</c:v>
                </c:pt>
                <c:pt idx="3">
                  <c:v>1413.7196951827277</c:v>
                </c:pt>
                <c:pt idx="4">
                  <c:v>1403.5357926044878</c:v>
                </c:pt>
                <c:pt idx="5">
                  <c:v>1436.6044339229561</c:v>
                </c:pt>
                <c:pt idx="6">
                  <c:v>1585.3135947264889</c:v>
                </c:pt>
                <c:pt idx="7">
                  <c:v>1686.1376982013417</c:v>
                </c:pt>
                <c:pt idx="8">
                  <c:v>1749.1728772289728</c:v>
                </c:pt>
                <c:pt idx="9">
                  <c:v>1781.7834577297974</c:v>
                </c:pt>
                <c:pt idx="10">
                  <c:v>1791.074785722155</c:v>
                </c:pt>
                <c:pt idx="11">
                  <c:v>1784.9559298558006</c:v>
                </c:pt>
                <c:pt idx="12">
                  <c:v>1770.887374982525</c:v>
                </c:pt>
                <c:pt idx="13">
                  <c:v>1753.4280483924576</c:v>
                </c:pt>
                <c:pt idx="14">
                  <c:v>1735.0155950682845</c:v>
                </c:pt>
                <c:pt idx="15">
                  <c:v>1716.6274271092157</c:v>
                </c:pt>
                <c:pt idx="16">
                  <c:v>1698.6273839066766</c:v>
                </c:pt>
                <c:pt idx="17">
                  <c:v>1681.3573486966332</c:v>
                </c:pt>
                <c:pt idx="18">
                  <c:v>1664.8510472133871</c:v>
                </c:pt>
                <c:pt idx="19">
                  <c:v>1648.9774747118684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77-4F1F-906F-6CE3EE968026}"/>
            </c:ext>
          </c:extLst>
        </c:ser>
        <c:ser>
          <c:idx val="3"/>
          <c:order val="3"/>
          <c:tx>
            <c:strRef>
              <c:f>'Jet-A CEA'!$A$7</c:f>
              <c:strCache>
                <c:ptCount val="1"/>
                <c:pt idx="0">
                  <c:v>40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CEA'!$B$3:$U$3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CEA'!$B$7:$U$7</c:f>
              <c:numCache>
                <c:formatCode>0</c:formatCode>
                <c:ptCount val="20"/>
                <c:pt idx="0">
                  <c:v>1345.3704852752155</c:v>
                </c:pt>
                <c:pt idx="1">
                  <c:v>1425.3141536553803</c:v>
                </c:pt>
                <c:pt idx="2">
                  <c:v>1430.3530323197213</c:v>
                </c:pt>
                <c:pt idx="3">
                  <c:v>1419.0562388381747</c:v>
                </c:pt>
                <c:pt idx="4">
                  <c:v>1408.7564271501606</c:v>
                </c:pt>
                <c:pt idx="5">
                  <c:v>1438.5862323334945</c:v>
                </c:pt>
                <c:pt idx="6">
                  <c:v>1585.1499311204452</c:v>
                </c:pt>
                <c:pt idx="7">
                  <c:v>1686.0160600786025</c:v>
                </c:pt>
                <c:pt idx="8">
                  <c:v>1750.1072269382139</c:v>
                </c:pt>
                <c:pt idx="9">
                  <c:v>1784.4011143151392</c:v>
                </c:pt>
                <c:pt idx="10">
                  <c:v>1795.3419015740037</c:v>
                </c:pt>
                <c:pt idx="11">
                  <c:v>1790.3700652802045</c:v>
                </c:pt>
                <c:pt idx="12">
                  <c:v>1776.8552688478012</c:v>
                </c:pt>
                <c:pt idx="13">
                  <c:v>1759.6444656534875</c:v>
                </c:pt>
                <c:pt idx="14">
                  <c:v>1741.2835496445134</c:v>
                </c:pt>
                <c:pt idx="15">
                  <c:v>1722.8367779806044</c:v>
                </c:pt>
                <c:pt idx="16">
                  <c:v>1704.7962534997509</c:v>
                </c:pt>
                <c:pt idx="17">
                  <c:v>1687.4425377606715</c:v>
                </c:pt>
                <c:pt idx="18">
                  <c:v>1670.7256697598789</c:v>
                </c:pt>
                <c:pt idx="19">
                  <c:v>1654.8154284758582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77-4F1F-906F-6CE3EE968026}"/>
            </c:ext>
          </c:extLst>
        </c:ser>
        <c:ser>
          <c:idx val="4"/>
          <c:order val="4"/>
          <c:tx>
            <c:strRef>
              <c:f>'Jet-A CEA'!$A$8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CEA'!$B$3:$U$3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CEA'!$B$8:$U$8</c:f>
              <c:numCache>
                <c:formatCode>0</c:formatCode>
                <c:ptCount val="20"/>
                <c:pt idx="0">
                  <c:v>1346.9998752972795</c:v>
                </c:pt>
                <c:pt idx="1">
                  <c:v>1427.7498771890589</c:v>
                </c:pt>
                <c:pt idx="2">
                  <c:v>1433.7222806613142</c:v>
                </c:pt>
                <c:pt idx="3">
                  <c:v>1423.0784408041932</c:v>
                </c:pt>
                <c:pt idx="4">
                  <c:v>1412.7409314620163</c:v>
                </c:pt>
                <c:pt idx="5">
                  <c:v>1440.6058539573692</c:v>
                </c:pt>
                <c:pt idx="6">
                  <c:v>1585.013834671988</c:v>
                </c:pt>
                <c:pt idx="7">
                  <c:v>1685.9063847676505</c:v>
                </c:pt>
                <c:pt idx="8">
                  <c:v>1750.6905657014306</c:v>
                </c:pt>
                <c:pt idx="9">
                  <c:v>1786.2300060703574</c:v>
                </c:pt>
                <c:pt idx="10">
                  <c:v>1798.5344050689332</c:v>
                </c:pt>
                <c:pt idx="11">
                  <c:v>1794.4547310064534</c:v>
                </c:pt>
                <c:pt idx="12">
                  <c:v>1781.3726423301391</c:v>
                </c:pt>
                <c:pt idx="13">
                  <c:v>1764.4012379979647</c:v>
                </c:pt>
                <c:pt idx="14">
                  <c:v>1746.0815246015263</c:v>
                </c:pt>
                <c:pt idx="15">
                  <c:v>1727.6386631395105</c:v>
                </c:pt>
                <c:pt idx="16">
                  <c:v>1709.5641265521697</c:v>
                </c:pt>
                <c:pt idx="17">
                  <c:v>1692.0917232932236</c:v>
                </c:pt>
                <c:pt idx="18">
                  <c:v>1675.322621497251</c:v>
                </c:pt>
                <c:pt idx="19">
                  <c:v>1659.260108565464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D77-4F1F-906F-6CE3EE968026}"/>
            </c:ext>
          </c:extLst>
        </c:ser>
        <c:ser>
          <c:idx val="5"/>
          <c:order val="5"/>
          <c:tx>
            <c:strRef>
              <c:f>'Jet-A CEA'!$A$9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CEA'!$B$3:$U$3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CEA'!$B$9:$U$9</c:f>
              <c:numCache>
                <c:formatCode>0</c:formatCode>
                <c:ptCount val="20"/>
                <c:pt idx="0">
                  <c:v>1348.4349753931124</c:v>
                </c:pt>
                <c:pt idx="1">
                  <c:v>1429.647946242583</c:v>
                </c:pt>
                <c:pt idx="2">
                  <c:v>1436.2870344696446</c:v>
                </c:pt>
                <c:pt idx="3">
                  <c:v>1426.2258833079566</c:v>
                </c:pt>
                <c:pt idx="4">
                  <c:v>1415.9278910983405</c:v>
                </c:pt>
                <c:pt idx="5">
                  <c:v>1442.7080280847383</c:v>
                </c:pt>
                <c:pt idx="6">
                  <c:v>1584.9310549584575</c:v>
                </c:pt>
                <c:pt idx="7">
                  <c:v>1685.8684389107143</c:v>
                </c:pt>
                <c:pt idx="8">
                  <c:v>1751.094467568252</c:v>
                </c:pt>
                <c:pt idx="9">
                  <c:v>1787.6358990060521</c:v>
                </c:pt>
                <c:pt idx="10">
                  <c:v>1800.9857535080496</c:v>
                </c:pt>
                <c:pt idx="11">
                  <c:v>1797.7114275272227</c:v>
                </c:pt>
                <c:pt idx="12">
                  <c:v>1785.0873901090874</c:v>
                </c:pt>
                <c:pt idx="13">
                  <c:v>1768.2867451317222</c:v>
                </c:pt>
                <c:pt idx="14">
                  <c:v>1750.0033410328085</c:v>
                </c:pt>
                <c:pt idx="15">
                  <c:v>1731.5644571181226</c:v>
                </c:pt>
                <c:pt idx="16">
                  <c:v>1713.4304618497413</c:v>
                </c:pt>
                <c:pt idx="17">
                  <c:v>1695.8575028591788</c:v>
                </c:pt>
                <c:pt idx="18">
                  <c:v>1679.023672270825</c:v>
                </c:pt>
                <c:pt idx="19">
                  <c:v>1662.9059400290737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D77-4F1F-906F-6CE3EE968026}"/>
            </c:ext>
          </c:extLst>
        </c:ser>
        <c:ser>
          <c:idx val="6"/>
          <c:order val="6"/>
          <c:tx>
            <c:strRef>
              <c:f>'Jet-A CEA'!$A$10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CEA'!$B$3:$U$3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CEA'!$B$10:$U$10</c:f>
              <c:numCache>
                <c:formatCode>0</c:formatCode>
                <c:ptCount val="20"/>
                <c:pt idx="0">
                  <c:v>1349.5797340766626</c:v>
                </c:pt>
                <c:pt idx="1">
                  <c:v>1431.2328142145918</c:v>
                </c:pt>
                <c:pt idx="2">
                  <c:v>1438.449142643467</c:v>
                </c:pt>
                <c:pt idx="3">
                  <c:v>1428.8092801659707</c:v>
                </c:pt>
                <c:pt idx="4">
                  <c:v>1418.5815613329762</c:v>
                </c:pt>
                <c:pt idx="5">
                  <c:v>1444.6483361650996</c:v>
                </c:pt>
                <c:pt idx="6">
                  <c:v>1584.8574073569373</c:v>
                </c:pt>
                <c:pt idx="7">
                  <c:v>1685.7871136315953</c:v>
                </c:pt>
                <c:pt idx="8">
                  <c:v>1751.4395284737245</c:v>
                </c:pt>
                <c:pt idx="9">
                  <c:v>1788.725687177694</c:v>
                </c:pt>
                <c:pt idx="10">
                  <c:v>1803.0136122591618</c:v>
                </c:pt>
                <c:pt idx="11">
                  <c:v>1800.467940120684</c:v>
                </c:pt>
                <c:pt idx="12">
                  <c:v>1788.1891839505156</c:v>
                </c:pt>
                <c:pt idx="13">
                  <c:v>1771.5734348670153</c:v>
                </c:pt>
                <c:pt idx="14">
                  <c:v>1753.3398248254643</c:v>
                </c:pt>
                <c:pt idx="15">
                  <c:v>1734.8331686879587</c:v>
                </c:pt>
                <c:pt idx="16">
                  <c:v>1716.6714862563713</c:v>
                </c:pt>
                <c:pt idx="17">
                  <c:v>1699.0509322723835</c:v>
                </c:pt>
                <c:pt idx="18">
                  <c:v>1682.1485436737917</c:v>
                </c:pt>
                <c:pt idx="19">
                  <c:v>1665.9409697165245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D77-4F1F-906F-6CE3EE968026}"/>
            </c:ext>
          </c:extLst>
        </c:ser>
        <c:ser>
          <c:idx val="7"/>
          <c:order val="7"/>
          <c:tx>
            <c:strRef>
              <c:f>'Jet-A CEA'!$A$11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CEA'!$B$3:$U$3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CEA'!$B$11:$U$11</c:f>
              <c:numCache>
                <c:formatCode>0</c:formatCode>
                <c:ptCount val="20"/>
                <c:pt idx="0">
                  <c:v>1350.5200749357016</c:v>
                </c:pt>
                <c:pt idx="1">
                  <c:v>1432.5512216545358</c:v>
                </c:pt>
                <c:pt idx="2">
                  <c:v>1440.3195419631302</c:v>
                </c:pt>
                <c:pt idx="3">
                  <c:v>1431.034249441778</c:v>
                </c:pt>
                <c:pt idx="4">
                  <c:v>1420.7949290454944</c:v>
                </c:pt>
                <c:pt idx="5">
                  <c:v>1446.4665195879352</c:v>
                </c:pt>
                <c:pt idx="6">
                  <c:v>1584.8301752461241</c:v>
                </c:pt>
                <c:pt idx="7">
                  <c:v>1685.7099475245791</c:v>
                </c:pt>
                <c:pt idx="8">
                  <c:v>1751.6918103596572</c:v>
                </c:pt>
                <c:pt idx="9">
                  <c:v>1789.66398127465</c:v>
                </c:pt>
                <c:pt idx="10">
                  <c:v>1804.7330376322993</c:v>
                </c:pt>
                <c:pt idx="11">
                  <c:v>1802.7473941959693</c:v>
                </c:pt>
                <c:pt idx="12">
                  <c:v>1790.8298400517242</c:v>
                </c:pt>
                <c:pt idx="13">
                  <c:v>1774.3508829255884</c:v>
                </c:pt>
                <c:pt idx="14">
                  <c:v>1756.1878537741338</c:v>
                </c:pt>
                <c:pt idx="15">
                  <c:v>1737.6581755291545</c:v>
                </c:pt>
                <c:pt idx="16">
                  <c:v>1719.4563995872982</c:v>
                </c:pt>
                <c:pt idx="17">
                  <c:v>1701.8644119242008</c:v>
                </c:pt>
                <c:pt idx="18">
                  <c:v>1684.8363798470186</c:v>
                </c:pt>
                <c:pt idx="19">
                  <c:v>1668.5598653919067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D77-4F1F-906F-6CE3EE968026}"/>
            </c:ext>
          </c:extLst>
        </c:ser>
        <c:ser>
          <c:idx val="8"/>
          <c:order val="8"/>
          <c:tx>
            <c:strRef>
              <c:f>'Jet-A CEA'!$A$12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CEA'!$B$3:$U$3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CEA'!$B$12:$U$12</c:f>
              <c:numCache>
                <c:formatCode>0</c:formatCode>
                <c:ptCount val="20"/>
                <c:pt idx="0">
                  <c:v>1351.3360224352982</c:v>
                </c:pt>
                <c:pt idx="1">
                  <c:v>1433.7495858840464</c:v>
                </c:pt>
                <c:pt idx="2">
                  <c:v>1441.9130455453646</c:v>
                </c:pt>
                <c:pt idx="3">
                  <c:v>1432.8668252514401</c:v>
                </c:pt>
                <c:pt idx="4">
                  <c:v>1422.7403739017764</c:v>
                </c:pt>
                <c:pt idx="5">
                  <c:v>1448.2103975075863</c:v>
                </c:pt>
                <c:pt idx="6">
                  <c:v>1584.8006469163251</c:v>
                </c:pt>
                <c:pt idx="7">
                  <c:v>1685.6339651202684</c:v>
                </c:pt>
                <c:pt idx="8">
                  <c:v>1751.8929745135374</c:v>
                </c:pt>
                <c:pt idx="9">
                  <c:v>1790.4182645145329</c:v>
                </c:pt>
                <c:pt idx="10">
                  <c:v>1806.1636197229645</c:v>
                </c:pt>
                <c:pt idx="11">
                  <c:v>1804.7656954497988</c:v>
                </c:pt>
                <c:pt idx="12">
                  <c:v>1793.163363881597</c:v>
                </c:pt>
                <c:pt idx="13">
                  <c:v>1776.7656042101646</c:v>
                </c:pt>
                <c:pt idx="14">
                  <c:v>1758.6620896449683</c:v>
                </c:pt>
                <c:pt idx="15">
                  <c:v>1740.1555731209519</c:v>
                </c:pt>
                <c:pt idx="16">
                  <c:v>1721.9124621510944</c:v>
                </c:pt>
                <c:pt idx="17">
                  <c:v>1704.2697015018696</c:v>
                </c:pt>
                <c:pt idx="18">
                  <c:v>1687.2243087538839</c:v>
                </c:pt>
                <c:pt idx="19">
                  <c:v>1670.8763576489957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D77-4F1F-906F-6CE3EE968026}"/>
            </c:ext>
          </c:extLst>
        </c:ser>
        <c:ser>
          <c:idx val="9"/>
          <c:order val="9"/>
          <c:tx>
            <c:strRef>
              <c:f>'Jet-A CEA'!$A$13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CEA'!$B$3:$U$3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CEA'!$B$13:$U$13</c:f>
              <c:numCache>
                <c:formatCode>0</c:formatCode>
                <c:ptCount val="20"/>
                <c:pt idx="0">
                  <c:v>1352.048044073229</c:v>
                </c:pt>
                <c:pt idx="1">
                  <c:v>1434.810189147044</c:v>
                </c:pt>
                <c:pt idx="2">
                  <c:v>1443.2867620271134</c:v>
                </c:pt>
                <c:pt idx="3">
                  <c:v>1434.5909264388854</c:v>
                </c:pt>
                <c:pt idx="4">
                  <c:v>1424.4267608762093</c:v>
                </c:pt>
                <c:pt idx="5">
                  <c:v>1449.833650336398</c:v>
                </c:pt>
                <c:pt idx="6">
                  <c:v>1584.7825148743625</c:v>
                </c:pt>
                <c:pt idx="7">
                  <c:v>1685.5930189108512</c:v>
                </c:pt>
                <c:pt idx="8">
                  <c:v>1752.07172224339</c:v>
                </c:pt>
                <c:pt idx="9">
                  <c:v>1791.0981929114334</c:v>
                </c:pt>
                <c:pt idx="10">
                  <c:v>1807.492437672496</c:v>
                </c:pt>
                <c:pt idx="11">
                  <c:v>1806.5295189151325</c:v>
                </c:pt>
                <c:pt idx="12">
                  <c:v>1795.239067543976</c:v>
                </c:pt>
                <c:pt idx="13">
                  <c:v>1778.9547337124898</c:v>
                </c:pt>
                <c:pt idx="14">
                  <c:v>1760.8762138784971</c:v>
                </c:pt>
                <c:pt idx="15">
                  <c:v>1742.3679137918186</c:v>
                </c:pt>
                <c:pt idx="16">
                  <c:v>1724.114557724552</c:v>
                </c:pt>
                <c:pt idx="17">
                  <c:v>1706.3871141125412</c:v>
                </c:pt>
                <c:pt idx="18">
                  <c:v>1689.3140967684528</c:v>
                </c:pt>
                <c:pt idx="19">
                  <c:v>1672.9478767321652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D77-4F1F-906F-6CE3EE968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551983"/>
        <c:axId val="1429551023"/>
      </c:scatterChart>
      <c:valAx>
        <c:axId val="1429551983"/>
        <c:scaling>
          <c:orientation val="minMax"/>
          <c:max val="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OF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551023"/>
        <c:crosses val="autoZero"/>
        <c:crossBetween val="midCat"/>
      </c:valAx>
      <c:valAx>
        <c:axId val="1429551023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C-Star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551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'Jet-A CEA'!$A$68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CEA'!$B$67:$U$67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CEA'!$B$68:$U$68</c:f>
              <c:numCache>
                <c:formatCode>0.000</c:formatCode>
                <c:ptCount val="20"/>
                <c:pt idx="0">
                  <c:v>1.1203000000000001</c:v>
                </c:pt>
                <c:pt idx="1">
                  <c:v>1.1327</c:v>
                </c:pt>
                <c:pt idx="2">
                  <c:v>1.1584000000000001</c:v>
                </c:pt>
                <c:pt idx="3">
                  <c:v>1.2023999999999999</c:v>
                </c:pt>
                <c:pt idx="4">
                  <c:v>1.2673000000000001</c:v>
                </c:pt>
                <c:pt idx="5">
                  <c:v>1.3089</c:v>
                </c:pt>
                <c:pt idx="6">
                  <c:v>1.2661</c:v>
                </c:pt>
                <c:pt idx="7">
                  <c:v>1.2194</c:v>
                </c:pt>
                <c:pt idx="8">
                  <c:v>1.1808000000000001</c:v>
                </c:pt>
                <c:pt idx="9">
                  <c:v>1.1545000000000001</c:v>
                </c:pt>
                <c:pt idx="10">
                  <c:v>1.1389</c:v>
                </c:pt>
                <c:pt idx="11">
                  <c:v>1.1307</c:v>
                </c:pt>
                <c:pt idx="12">
                  <c:v>1.1264000000000001</c:v>
                </c:pt>
                <c:pt idx="13">
                  <c:v>1.1238999999999999</c:v>
                </c:pt>
                <c:pt idx="14">
                  <c:v>1.1224000000000001</c:v>
                </c:pt>
                <c:pt idx="15">
                  <c:v>1.1214</c:v>
                </c:pt>
                <c:pt idx="16">
                  <c:v>1.1207</c:v>
                </c:pt>
                <c:pt idx="17">
                  <c:v>1.1203000000000001</c:v>
                </c:pt>
                <c:pt idx="18">
                  <c:v>1.1198999999999999</c:v>
                </c:pt>
                <c:pt idx="19">
                  <c:v>1.1197999999999999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33-4B08-8D97-A3081F4306EF}"/>
            </c:ext>
          </c:extLst>
        </c:ser>
        <c:ser>
          <c:idx val="1"/>
          <c:order val="1"/>
          <c:tx>
            <c:strRef>
              <c:f>'Jet-A CEA'!$A$69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CEA'!$B$67:$U$67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CEA'!$B$69:$U$69</c:f>
              <c:numCache>
                <c:formatCode>0.000</c:formatCode>
                <c:ptCount val="20"/>
                <c:pt idx="0">
                  <c:v>1.1187</c:v>
                </c:pt>
                <c:pt idx="1">
                  <c:v>1.1335</c:v>
                </c:pt>
                <c:pt idx="2">
                  <c:v>1.1593</c:v>
                </c:pt>
                <c:pt idx="3">
                  <c:v>1.1983999999999999</c:v>
                </c:pt>
                <c:pt idx="4">
                  <c:v>1.2548999999999999</c:v>
                </c:pt>
                <c:pt idx="5">
                  <c:v>1.3069999999999999</c:v>
                </c:pt>
                <c:pt idx="6">
                  <c:v>1.2690999999999999</c:v>
                </c:pt>
                <c:pt idx="7">
                  <c:v>1.2267999999999999</c:v>
                </c:pt>
                <c:pt idx="8">
                  <c:v>1.1893</c:v>
                </c:pt>
                <c:pt idx="9">
                  <c:v>1.1617999999999999</c:v>
                </c:pt>
                <c:pt idx="10">
                  <c:v>1.1444000000000001</c:v>
                </c:pt>
                <c:pt idx="11">
                  <c:v>1.135</c:v>
                </c:pt>
                <c:pt idx="12">
                  <c:v>1.1301000000000001</c:v>
                </c:pt>
                <c:pt idx="13">
                  <c:v>1.1274</c:v>
                </c:pt>
                <c:pt idx="14">
                  <c:v>1.1256999999999999</c:v>
                </c:pt>
                <c:pt idx="15">
                  <c:v>1.1246</c:v>
                </c:pt>
                <c:pt idx="16">
                  <c:v>1.1238999999999999</c:v>
                </c:pt>
                <c:pt idx="17">
                  <c:v>1.1234</c:v>
                </c:pt>
                <c:pt idx="18">
                  <c:v>1.123</c:v>
                </c:pt>
                <c:pt idx="19">
                  <c:v>1.1229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33-4B08-8D97-A3081F4306EF}"/>
            </c:ext>
          </c:extLst>
        </c:ser>
        <c:ser>
          <c:idx val="2"/>
          <c:order val="2"/>
          <c:tx>
            <c:strRef>
              <c:f>'Jet-A CEA'!$A$70</c:f>
              <c:strCache>
                <c:ptCount val="1"/>
                <c:pt idx="0">
                  <c:v>30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CEA'!$B$67:$U$67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CEA'!$B$70:$U$70</c:f>
              <c:numCache>
                <c:formatCode>0.000</c:formatCode>
                <c:ptCount val="20"/>
                <c:pt idx="0">
                  <c:v>1.1175999999999999</c:v>
                </c:pt>
                <c:pt idx="1">
                  <c:v>1.1335</c:v>
                </c:pt>
                <c:pt idx="2">
                  <c:v>1.1596</c:v>
                </c:pt>
                <c:pt idx="3">
                  <c:v>1.1966000000000001</c:v>
                </c:pt>
                <c:pt idx="4">
                  <c:v>1.2484</c:v>
                </c:pt>
                <c:pt idx="5">
                  <c:v>1.3042</c:v>
                </c:pt>
                <c:pt idx="6">
                  <c:v>1.2705</c:v>
                </c:pt>
                <c:pt idx="7">
                  <c:v>1.2305999999999999</c:v>
                </c:pt>
                <c:pt idx="8">
                  <c:v>1.1940999999999999</c:v>
                </c:pt>
                <c:pt idx="9">
                  <c:v>1.1661999999999999</c:v>
                </c:pt>
                <c:pt idx="10">
                  <c:v>1.1478999999999999</c:v>
                </c:pt>
                <c:pt idx="11">
                  <c:v>1.1376999999999999</c:v>
                </c:pt>
                <c:pt idx="12">
                  <c:v>1.1323000000000001</c:v>
                </c:pt>
                <c:pt idx="13">
                  <c:v>1.1294</c:v>
                </c:pt>
                <c:pt idx="14">
                  <c:v>1.1275999999999999</c:v>
                </c:pt>
                <c:pt idx="15">
                  <c:v>1.1264000000000001</c:v>
                </c:pt>
                <c:pt idx="16">
                  <c:v>1.1256999999999999</c:v>
                </c:pt>
                <c:pt idx="17">
                  <c:v>1.1252</c:v>
                </c:pt>
                <c:pt idx="18">
                  <c:v>1.1248</c:v>
                </c:pt>
                <c:pt idx="19">
                  <c:v>1.1247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33-4B08-8D97-A3081F4306EF}"/>
            </c:ext>
          </c:extLst>
        </c:ser>
        <c:ser>
          <c:idx val="3"/>
          <c:order val="3"/>
          <c:tx>
            <c:strRef>
              <c:f>'Jet-A CEA'!$A$71</c:f>
              <c:strCache>
                <c:ptCount val="1"/>
                <c:pt idx="0">
                  <c:v>40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CEA'!$B$67:$U$67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CEA'!$B$71:$U$71</c:f>
              <c:numCache>
                <c:formatCode>0.000</c:formatCode>
                <c:ptCount val="20"/>
                <c:pt idx="0">
                  <c:v>1.1167</c:v>
                </c:pt>
                <c:pt idx="1">
                  <c:v>1.1334</c:v>
                </c:pt>
                <c:pt idx="2">
                  <c:v>1.1596</c:v>
                </c:pt>
                <c:pt idx="3">
                  <c:v>1.1955</c:v>
                </c:pt>
                <c:pt idx="4">
                  <c:v>1.2442</c:v>
                </c:pt>
                <c:pt idx="5">
                  <c:v>1.3010999999999999</c:v>
                </c:pt>
                <c:pt idx="6">
                  <c:v>1.2714000000000001</c:v>
                </c:pt>
                <c:pt idx="7">
                  <c:v>1.2331000000000001</c:v>
                </c:pt>
                <c:pt idx="8">
                  <c:v>1.1974</c:v>
                </c:pt>
                <c:pt idx="9">
                  <c:v>1.1693</c:v>
                </c:pt>
                <c:pt idx="10">
                  <c:v>1.1504000000000001</c:v>
                </c:pt>
                <c:pt idx="11">
                  <c:v>1.1395999999999999</c:v>
                </c:pt>
                <c:pt idx="12">
                  <c:v>1.1338999999999999</c:v>
                </c:pt>
                <c:pt idx="13">
                  <c:v>1.1308</c:v>
                </c:pt>
                <c:pt idx="14">
                  <c:v>1.1289</c:v>
                </c:pt>
                <c:pt idx="15">
                  <c:v>1.1276999999999999</c:v>
                </c:pt>
                <c:pt idx="16">
                  <c:v>1.127</c:v>
                </c:pt>
                <c:pt idx="17">
                  <c:v>1.1264000000000001</c:v>
                </c:pt>
                <c:pt idx="18">
                  <c:v>1.1261000000000001</c:v>
                </c:pt>
                <c:pt idx="19">
                  <c:v>1.1258999999999999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33-4B08-8D97-A3081F4306EF}"/>
            </c:ext>
          </c:extLst>
        </c:ser>
        <c:ser>
          <c:idx val="4"/>
          <c:order val="4"/>
          <c:tx>
            <c:strRef>
              <c:f>'Jet-A CEA'!$A$72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CEA'!$B$67:$U$67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CEA'!$B$72:$U$72</c:f>
              <c:numCache>
                <c:formatCode>0.000</c:formatCode>
                <c:ptCount val="20"/>
                <c:pt idx="0">
                  <c:v>1.1160000000000001</c:v>
                </c:pt>
                <c:pt idx="1">
                  <c:v>1.1332</c:v>
                </c:pt>
                <c:pt idx="2">
                  <c:v>1.1595</c:v>
                </c:pt>
                <c:pt idx="3">
                  <c:v>1.1946000000000001</c:v>
                </c:pt>
                <c:pt idx="4">
                  <c:v>1.2412000000000001</c:v>
                </c:pt>
                <c:pt idx="5">
                  <c:v>1.2981</c:v>
                </c:pt>
                <c:pt idx="6">
                  <c:v>1.272</c:v>
                </c:pt>
                <c:pt idx="7">
                  <c:v>1.2349000000000001</c:v>
                </c:pt>
                <c:pt idx="8">
                  <c:v>1.1999</c:v>
                </c:pt>
                <c:pt idx="9">
                  <c:v>1.1718</c:v>
                </c:pt>
                <c:pt idx="10">
                  <c:v>1.1523000000000001</c:v>
                </c:pt>
                <c:pt idx="11">
                  <c:v>1.1411</c:v>
                </c:pt>
                <c:pt idx="12">
                  <c:v>1.1352</c:v>
                </c:pt>
                <c:pt idx="13">
                  <c:v>1.1318999999999999</c:v>
                </c:pt>
                <c:pt idx="14">
                  <c:v>1.1299999999999999</c:v>
                </c:pt>
                <c:pt idx="15">
                  <c:v>1.1287</c:v>
                </c:pt>
                <c:pt idx="16">
                  <c:v>1.1278999999999999</c:v>
                </c:pt>
                <c:pt idx="17">
                  <c:v>1.1274</c:v>
                </c:pt>
                <c:pt idx="18">
                  <c:v>1.1271</c:v>
                </c:pt>
                <c:pt idx="19">
                  <c:v>1.1269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33-4B08-8D97-A3081F4306EF}"/>
            </c:ext>
          </c:extLst>
        </c:ser>
        <c:ser>
          <c:idx val="5"/>
          <c:order val="5"/>
          <c:tx>
            <c:strRef>
              <c:f>'Jet-A CEA'!$A$73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CEA'!$B$34:$U$34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CEA'!$B$73:$U$73</c:f>
              <c:numCache>
                <c:formatCode>0.000</c:formatCode>
                <c:ptCount val="20"/>
                <c:pt idx="0">
                  <c:v>1.1153</c:v>
                </c:pt>
                <c:pt idx="1">
                  <c:v>1.1329</c:v>
                </c:pt>
                <c:pt idx="2">
                  <c:v>1.1594</c:v>
                </c:pt>
                <c:pt idx="3">
                  <c:v>1.1939</c:v>
                </c:pt>
                <c:pt idx="4">
                  <c:v>1.2388999999999999</c:v>
                </c:pt>
                <c:pt idx="5">
                  <c:v>1.2951999999999999</c:v>
                </c:pt>
                <c:pt idx="6">
                  <c:v>1.2724</c:v>
                </c:pt>
                <c:pt idx="7">
                  <c:v>1.2362</c:v>
                </c:pt>
                <c:pt idx="8">
                  <c:v>1.2019</c:v>
                </c:pt>
                <c:pt idx="9">
                  <c:v>1.1738</c:v>
                </c:pt>
                <c:pt idx="10">
                  <c:v>1.1539999999999999</c:v>
                </c:pt>
                <c:pt idx="11">
                  <c:v>1.1424000000000001</c:v>
                </c:pt>
                <c:pt idx="12">
                  <c:v>1.1362000000000001</c:v>
                </c:pt>
                <c:pt idx="13">
                  <c:v>1.1328</c:v>
                </c:pt>
                <c:pt idx="14">
                  <c:v>1.1308</c:v>
                </c:pt>
                <c:pt idx="15">
                  <c:v>1.1294999999999999</c:v>
                </c:pt>
                <c:pt idx="16">
                  <c:v>1.1287</c:v>
                </c:pt>
                <c:pt idx="17">
                  <c:v>1.1282000000000001</c:v>
                </c:pt>
                <c:pt idx="18">
                  <c:v>1.1278999999999999</c:v>
                </c:pt>
                <c:pt idx="19">
                  <c:v>1.1276999999999999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233-4B08-8D97-A3081F4306EF}"/>
            </c:ext>
          </c:extLst>
        </c:ser>
        <c:ser>
          <c:idx val="6"/>
          <c:order val="6"/>
          <c:tx>
            <c:strRef>
              <c:f>'Jet-A CEA'!$A$74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CEA'!$B$67:$U$67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CEA'!$B$74:$U$74</c:f>
              <c:numCache>
                <c:formatCode>0.000</c:formatCode>
                <c:ptCount val="20"/>
                <c:pt idx="0">
                  <c:v>1.1147</c:v>
                </c:pt>
                <c:pt idx="1">
                  <c:v>1.1327</c:v>
                </c:pt>
                <c:pt idx="2">
                  <c:v>1.1593</c:v>
                </c:pt>
                <c:pt idx="3">
                  <c:v>1.1933</c:v>
                </c:pt>
                <c:pt idx="4">
                  <c:v>1.2370000000000001</c:v>
                </c:pt>
                <c:pt idx="5">
                  <c:v>1.2926</c:v>
                </c:pt>
                <c:pt idx="6">
                  <c:v>1.2726999999999999</c:v>
                </c:pt>
                <c:pt idx="7">
                  <c:v>1.2373000000000001</c:v>
                </c:pt>
                <c:pt idx="8">
                  <c:v>1.2035</c:v>
                </c:pt>
                <c:pt idx="9">
                  <c:v>1.1755</c:v>
                </c:pt>
                <c:pt idx="10">
                  <c:v>1.1554</c:v>
                </c:pt>
                <c:pt idx="11">
                  <c:v>1.1434</c:v>
                </c:pt>
                <c:pt idx="12">
                  <c:v>1.137</c:v>
                </c:pt>
                <c:pt idx="13">
                  <c:v>1.1335</c:v>
                </c:pt>
                <c:pt idx="14">
                  <c:v>1.1315</c:v>
                </c:pt>
                <c:pt idx="15">
                  <c:v>1.1302000000000001</c:v>
                </c:pt>
                <c:pt idx="16">
                  <c:v>1.1294</c:v>
                </c:pt>
                <c:pt idx="17">
                  <c:v>1.1289</c:v>
                </c:pt>
                <c:pt idx="18">
                  <c:v>1.1286</c:v>
                </c:pt>
                <c:pt idx="19">
                  <c:v>1.1284000000000001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233-4B08-8D97-A3081F4306EF}"/>
            </c:ext>
          </c:extLst>
        </c:ser>
        <c:ser>
          <c:idx val="7"/>
          <c:order val="7"/>
          <c:tx>
            <c:strRef>
              <c:f>'Jet-A CEA'!$A$75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CEA'!$B$34:$U$34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CEA'!$B$75:$U$75</c:f>
              <c:numCache>
                <c:formatCode>0.000</c:formatCode>
                <c:ptCount val="20"/>
                <c:pt idx="0">
                  <c:v>1.1142000000000001</c:v>
                </c:pt>
                <c:pt idx="1">
                  <c:v>1.1324000000000001</c:v>
                </c:pt>
                <c:pt idx="2">
                  <c:v>1.1591</c:v>
                </c:pt>
                <c:pt idx="3">
                  <c:v>1.1927000000000001</c:v>
                </c:pt>
                <c:pt idx="4">
                  <c:v>1.2355</c:v>
                </c:pt>
                <c:pt idx="5">
                  <c:v>1.2903</c:v>
                </c:pt>
                <c:pt idx="6">
                  <c:v>1.2729999999999999</c:v>
                </c:pt>
                <c:pt idx="7">
                  <c:v>1.2382</c:v>
                </c:pt>
                <c:pt idx="8">
                  <c:v>1.2049000000000001</c:v>
                </c:pt>
                <c:pt idx="9">
                  <c:v>1.1769000000000001</c:v>
                </c:pt>
                <c:pt idx="10">
                  <c:v>1.1566000000000001</c:v>
                </c:pt>
                <c:pt idx="11">
                  <c:v>1.1444000000000001</c:v>
                </c:pt>
                <c:pt idx="12">
                  <c:v>1.1377999999999999</c:v>
                </c:pt>
                <c:pt idx="13">
                  <c:v>1.1342000000000001</c:v>
                </c:pt>
                <c:pt idx="14">
                  <c:v>1.1321000000000001</c:v>
                </c:pt>
                <c:pt idx="15">
                  <c:v>1.1308</c:v>
                </c:pt>
                <c:pt idx="16">
                  <c:v>1.1299999999999999</c:v>
                </c:pt>
                <c:pt idx="17">
                  <c:v>1.1294</c:v>
                </c:pt>
                <c:pt idx="18">
                  <c:v>1.1291</c:v>
                </c:pt>
                <c:pt idx="19">
                  <c:v>1.129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233-4B08-8D97-A3081F4306EF}"/>
            </c:ext>
          </c:extLst>
        </c:ser>
        <c:ser>
          <c:idx val="8"/>
          <c:order val="8"/>
          <c:tx>
            <c:strRef>
              <c:f>'Jet-A CEA'!$A$76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'Jet-A CEA'!$B$34:$U$34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CEA'!$B$76:$U$76</c:f>
              <c:numCache>
                <c:formatCode>0.000</c:formatCode>
                <c:ptCount val="20"/>
                <c:pt idx="0">
                  <c:v>1.1136999999999999</c:v>
                </c:pt>
                <c:pt idx="1">
                  <c:v>1.1322000000000001</c:v>
                </c:pt>
                <c:pt idx="2">
                  <c:v>1.1589</c:v>
                </c:pt>
                <c:pt idx="3">
                  <c:v>1.1922999999999999</c:v>
                </c:pt>
                <c:pt idx="4">
                  <c:v>1.2341</c:v>
                </c:pt>
                <c:pt idx="5">
                  <c:v>1.2882</c:v>
                </c:pt>
                <c:pt idx="6">
                  <c:v>1.2732000000000001</c:v>
                </c:pt>
                <c:pt idx="7">
                  <c:v>1.2390000000000001</c:v>
                </c:pt>
                <c:pt idx="8">
                  <c:v>1.2060999999999999</c:v>
                </c:pt>
                <c:pt idx="9">
                  <c:v>1.1781999999999999</c:v>
                </c:pt>
                <c:pt idx="10">
                  <c:v>1.1577</c:v>
                </c:pt>
                <c:pt idx="11">
                  <c:v>1.1452</c:v>
                </c:pt>
                <c:pt idx="12">
                  <c:v>1.1384000000000001</c:v>
                </c:pt>
                <c:pt idx="13">
                  <c:v>1.1348</c:v>
                </c:pt>
                <c:pt idx="14">
                  <c:v>1.1326000000000001</c:v>
                </c:pt>
                <c:pt idx="15">
                  <c:v>1.1313</c:v>
                </c:pt>
                <c:pt idx="16">
                  <c:v>1.1305000000000001</c:v>
                </c:pt>
                <c:pt idx="17">
                  <c:v>1.1298999999999999</c:v>
                </c:pt>
                <c:pt idx="18">
                  <c:v>1.1295999999999999</c:v>
                </c:pt>
                <c:pt idx="19">
                  <c:v>1.1294999999999999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233-4B08-8D97-A3081F4306EF}"/>
            </c:ext>
          </c:extLst>
        </c:ser>
        <c:ser>
          <c:idx val="9"/>
          <c:order val="9"/>
          <c:tx>
            <c:strRef>
              <c:f>'Jet-A CEA'!$A$77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'Jet-A CEA'!$B$67:$U$67</c:f>
              <c:numCache>
                <c:formatCode>0.0</c:formatCode>
                <c:ptCount val="2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</c:numCache>
            </c:numRef>
          </c:xVal>
          <c:yVal>
            <c:numRef>
              <c:f>'Jet-A CEA'!$B$77:$U$77</c:f>
              <c:numCache>
                <c:formatCode>0.000</c:formatCode>
                <c:ptCount val="20"/>
                <c:pt idx="0">
                  <c:v>1.1133</c:v>
                </c:pt>
                <c:pt idx="1">
                  <c:v>1.1318999999999999</c:v>
                </c:pt>
                <c:pt idx="2">
                  <c:v>1.1587000000000001</c:v>
                </c:pt>
                <c:pt idx="3">
                  <c:v>1.1918</c:v>
                </c:pt>
                <c:pt idx="4">
                  <c:v>1.2330000000000001</c:v>
                </c:pt>
                <c:pt idx="5">
                  <c:v>1.2863</c:v>
                </c:pt>
                <c:pt idx="6">
                  <c:v>1.2734000000000001</c:v>
                </c:pt>
                <c:pt idx="7">
                  <c:v>1.2396</c:v>
                </c:pt>
                <c:pt idx="8">
                  <c:v>1.2071000000000001</c:v>
                </c:pt>
                <c:pt idx="9">
                  <c:v>1.1793</c:v>
                </c:pt>
                <c:pt idx="10">
                  <c:v>1.1586000000000001</c:v>
                </c:pt>
                <c:pt idx="11">
                  <c:v>1.1458999999999999</c:v>
                </c:pt>
                <c:pt idx="12">
                  <c:v>1.139</c:v>
                </c:pt>
                <c:pt idx="13">
                  <c:v>1.1353</c:v>
                </c:pt>
                <c:pt idx="14">
                  <c:v>1.1331</c:v>
                </c:pt>
                <c:pt idx="15">
                  <c:v>1.1317999999999999</c:v>
                </c:pt>
                <c:pt idx="16">
                  <c:v>1.1309</c:v>
                </c:pt>
                <c:pt idx="17">
                  <c:v>1.1304000000000001</c:v>
                </c:pt>
                <c:pt idx="18">
                  <c:v>1.1301000000000001</c:v>
                </c:pt>
                <c:pt idx="19">
                  <c:v>1.1298999999999999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233-4B08-8D97-A3081F430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777663"/>
        <c:axId val="1410778143"/>
      </c:scatterChart>
      <c:valAx>
        <c:axId val="1410777663"/>
        <c:scaling>
          <c:orientation val="minMax"/>
          <c:max val="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OF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778143"/>
        <c:crosses val="autoZero"/>
        <c:crossBetween val="midCat"/>
      </c:valAx>
      <c:valAx>
        <c:axId val="14107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Heat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777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'Turbine Trade Jet-A'!$H$4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'Turbine Trade Jet-A'!$G$5:$G$14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Jet-A'!$H$5:$H$14</c:f>
              <c:numCache>
                <c:formatCode>0.00</c:formatCode>
                <c:ptCount val="10"/>
                <c:pt idx="0">
                  <c:v>82.034290482691546</c:v>
                </c:pt>
                <c:pt idx="1">
                  <c:v>20.508572620672886</c:v>
                </c:pt>
                <c:pt idx="2">
                  <c:v>9.1149211647435067</c:v>
                </c:pt>
                <c:pt idx="3">
                  <c:v>5.1271431551682216</c:v>
                </c:pt>
                <c:pt idx="4">
                  <c:v>3.2813716193076621</c:v>
                </c:pt>
                <c:pt idx="5">
                  <c:v>2.2787302911858767</c:v>
                </c:pt>
                <c:pt idx="6">
                  <c:v>1.6741691935243175</c:v>
                </c:pt>
                <c:pt idx="7">
                  <c:v>1.2817857887920554</c:v>
                </c:pt>
                <c:pt idx="8">
                  <c:v>1.0127690183048339</c:v>
                </c:pt>
                <c:pt idx="9">
                  <c:v>0.82034290482691552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4A-4B89-9F49-B77C93AC1A57}"/>
            </c:ext>
          </c:extLst>
        </c:ser>
        <c:ser>
          <c:idx val="1"/>
          <c:order val="1"/>
          <c:tx>
            <c:strRef>
              <c:f>'Turbine Trade Jet-A'!$I$4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'Turbine Trade Jet-A'!$G$5:$G$14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Jet-A'!$I$5:$I$14</c:f>
              <c:numCache>
                <c:formatCode>0.00</c:formatCode>
                <c:ptCount val="10"/>
                <c:pt idx="0">
                  <c:v>20.508572620672886</c:v>
                </c:pt>
                <c:pt idx="1">
                  <c:v>5.1271431551682216</c:v>
                </c:pt>
                <c:pt idx="2">
                  <c:v>2.2787302911858767</c:v>
                </c:pt>
                <c:pt idx="3">
                  <c:v>1.2817857887920554</c:v>
                </c:pt>
                <c:pt idx="4">
                  <c:v>0.82034290482691552</c:v>
                </c:pt>
                <c:pt idx="5">
                  <c:v>0.56968257279646917</c:v>
                </c:pt>
                <c:pt idx="6">
                  <c:v>0.41854229838107937</c:v>
                </c:pt>
                <c:pt idx="7">
                  <c:v>0.32044644719801385</c:v>
                </c:pt>
                <c:pt idx="8">
                  <c:v>0.25319225457620848</c:v>
                </c:pt>
                <c:pt idx="9">
                  <c:v>0.20508572620672888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4A-4B89-9F49-B77C93AC1A57}"/>
            </c:ext>
          </c:extLst>
        </c:ser>
        <c:ser>
          <c:idx val="2"/>
          <c:order val="2"/>
          <c:tx>
            <c:strRef>
              <c:f>'Turbine Trade Jet-A'!$J$4</c:f>
              <c:strCache>
                <c:ptCount val="1"/>
                <c:pt idx="0">
                  <c:v>12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'Turbine Trade Jet-A'!$G$5:$G$14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Jet-A'!$J$5:$J$14</c:f>
              <c:numCache>
                <c:formatCode>0.00</c:formatCode>
                <c:ptCount val="10"/>
                <c:pt idx="0">
                  <c:v>9.1149211647435049</c:v>
                </c:pt>
                <c:pt idx="1">
                  <c:v>2.2787302911858762</c:v>
                </c:pt>
                <c:pt idx="2">
                  <c:v>1.0127690183048341</c:v>
                </c:pt>
                <c:pt idx="3">
                  <c:v>0.56968257279646906</c:v>
                </c:pt>
                <c:pt idx="4">
                  <c:v>0.36459684658974023</c:v>
                </c:pt>
                <c:pt idx="5">
                  <c:v>0.25319225457620853</c:v>
                </c:pt>
                <c:pt idx="6">
                  <c:v>0.18601879928047971</c:v>
                </c:pt>
                <c:pt idx="7">
                  <c:v>0.14242064319911726</c:v>
                </c:pt>
                <c:pt idx="8">
                  <c:v>0.11252989092275933</c:v>
                </c:pt>
                <c:pt idx="9">
                  <c:v>9.1149211647435058E-2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4A-4B89-9F49-B77C93AC1A57}"/>
            </c:ext>
          </c:extLst>
        </c:ser>
        <c:ser>
          <c:idx val="3"/>
          <c:order val="3"/>
          <c:tx>
            <c:strRef>
              <c:f>'Turbine Trade Jet-A'!$K$4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'Turbine Trade Jet-A'!$G$5:$G$14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Jet-A'!$K$5:$K$14</c:f>
              <c:numCache>
                <c:formatCode>0.00</c:formatCode>
                <c:ptCount val="10"/>
                <c:pt idx="0">
                  <c:v>5.1271431551682216</c:v>
                </c:pt>
                <c:pt idx="1">
                  <c:v>1.2817857887920554</c:v>
                </c:pt>
                <c:pt idx="2">
                  <c:v>0.56968257279646917</c:v>
                </c:pt>
                <c:pt idx="3">
                  <c:v>0.32044644719801385</c:v>
                </c:pt>
                <c:pt idx="4">
                  <c:v>0.20508572620672888</c:v>
                </c:pt>
                <c:pt idx="5">
                  <c:v>0.14242064319911729</c:v>
                </c:pt>
                <c:pt idx="6">
                  <c:v>0.10463557459526984</c:v>
                </c:pt>
                <c:pt idx="7">
                  <c:v>8.0111611799503463E-2</c:v>
                </c:pt>
                <c:pt idx="8">
                  <c:v>6.3298063644052119E-2</c:v>
                </c:pt>
                <c:pt idx="9">
                  <c:v>5.127143155168222E-2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4A-4B89-9F49-B77C93AC1A57}"/>
            </c:ext>
          </c:extLst>
        </c:ser>
        <c:ser>
          <c:idx val="4"/>
          <c:order val="4"/>
          <c:tx>
            <c:strRef>
              <c:f>'Turbine Trade Jet-A'!$L$4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'Turbine Trade Jet-A'!$G$5:$G$14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Jet-A'!$L$5:$L$14</c:f>
              <c:numCache>
                <c:formatCode>0.00</c:formatCode>
                <c:ptCount val="10"/>
                <c:pt idx="0">
                  <c:v>3.2813716193076612</c:v>
                </c:pt>
                <c:pt idx="1">
                  <c:v>0.8203429048269153</c:v>
                </c:pt>
                <c:pt idx="2">
                  <c:v>0.36459684658974018</c:v>
                </c:pt>
                <c:pt idx="3">
                  <c:v>0.20508572620672882</c:v>
                </c:pt>
                <c:pt idx="4">
                  <c:v>0.13125486477230647</c:v>
                </c:pt>
                <c:pt idx="5">
                  <c:v>9.1149211647435044E-2</c:v>
                </c:pt>
                <c:pt idx="6">
                  <c:v>6.6966767740972682E-2</c:v>
                </c:pt>
                <c:pt idx="7">
                  <c:v>5.1271431551682206E-2</c:v>
                </c:pt>
                <c:pt idx="8">
                  <c:v>4.0510760732193354E-2</c:v>
                </c:pt>
                <c:pt idx="9">
                  <c:v>3.2813716193076617E-2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54A-4B89-9F49-B77C93AC1A57}"/>
            </c:ext>
          </c:extLst>
        </c:ser>
        <c:ser>
          <c:idx val="5"/>
          <c:order val="5"/>
          <c:tx>
            <c:strRef>
              <c:f>'Turbine Trade Jet-A'!$M$4</c:f>
              <c:strCache>
                <c:ptCount val="1"/>
                <c:pt idx="0">
                  <c:v>24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'Turbine Trade Jet-A'!$G$5:$G$14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Jet-A'!$M$5:$M$14</c:f>
              <c:numCache>
                <c:formatCode>0.00</c:formatCode>
                <c:ptCount val="10"/>
                <c:pt idx="0">
                  <c:v>2.2787302911858762</c:v>
                </c:pt>
                <c:pt idx="1">
                  <c:v>0.56968257279646906</c:v>
                </c:pt>
                <c:pt idx="2">
                  <c:v>0.25319225457620853</c:v>
                </c:pt>
                <c:pt idx="3">
                  <c:v>0.14242064319911726</c:v>
                </c:pt>
                <c:pt idx="4">
                  <c:v>9.1149211647435058E-2</c:v>
                </c:pt>
                <c:pt idx="5">
                  <c:v>6.3298063644052133E-2</c:v>
                </c:pt>
                <c:pt idx="6">
                  <c:v>4.6504699820119927E-2</c:v>
                </c:pt>
                <c:pt idx="7">
                  <c:v>3.5605160799779316E-2</c:v>
                </c:pt>
                <c:pt idx="8">
                  <c:v>2.8132472730689834E-2</c:v>
                </c:pt>
                <c:pt idx="9">
                  <c:v>2.2787302911858764E-2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54A-4B89-9F49-B77C93AC1A57}"/>
            </c:ext>
          </c:extLst>
        </c:ser>
        <c:ser>
          <c:idx val="6"/>
          <c:order val="6"/>
          <c:tx>
            <c:strRef>
              <c:f>'Turbine Trade Jet-A'!$N$4</c:f>
              <c:strCache>
                <c:ptCount val="1"/>
                <c:pt idx="0">
                  <c:v>28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'Turbine Trade Jet-A'!$G$5:$G$14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Jet-A'!$N$5:$N$14</c:f>
              <c:numCache>
                <c:formatCode>0.00</c:formatCode>
                <c:ptCount val="10"/>
                <c:pt idx="0">
                  <c:v>1.674169193524317</c:v>
                </c:pt>
                <c:pt idx="1">
                  <c:v>0.41854229838107926</c:v>
                </c:pt>
                <c:pt idx="2">
                  <c:v>0.18601879928047971</c:v>
                </c:pt>
                <c:pt idx="3">
                  <c:v>0.10463557459526981</c:v>
                </c:pt>
                <c:pt idx="4">
                  <c:v>6.6966767740972682E-2</c:v>
                </c:pt>
                <c:pt idx="5">
                  <c:v>4.6504699820119927E-2</c:v>
                </c:pt>
                <c:pt idx="6">
                  <c:v>3.4166718235190151E-2</c:v>
                </c:pt>
                <c:pt idx="7">
                  <c:v>2.6158893648817454E-2</c:v>
                </c:pt>
                <c:pt idx="8">
                  <c:v>2.0668755475608855E-2</c:v>
                </c:pt>
                <c:pt idx="9">
                  <c:v>1.6741691935243171E-2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54A-4B89-9F49-B77C93AC1A57}"/>
            </c:ext>
          </c:extLst>
        </c:ser>
        <c:ser>
          <c:idx val="7"/>
          <c:order val="7"/>
          <c:tx>
            <c:strRef>
              <c:f>'Turbine Trade Jet-A'!$O$4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'Turbine Trade Jet-A'!$G$5:$G$14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Jet-A'!$O$5:$O$14</c:f>
              <c:numCache>
                <c:formatCode>0.00</c:formatCode>
                <c:ptCount val="10"/>
                <c:pt idx="0">
                  <c:v>1.2817857887920554</c:v>
                </c:pt>
                <c:pt idx="1">
                  <c:v>0.32044644719801385</c:v>
                </c:pt>
                <c:pt idx="2">
                  <c:v>0.14242064319911729</c:v>
                </c:pt>
                <c:pt idx="3">
                  <c:v>8.0111611799503463E-2</c:v>
                </c:pt>
                <c:pt idx="4">
                  <c:v>5.127143155168222E-2</c:v>
                </c:pt>
                <c:pt idx="5">
                  <c:v>3.5605160799779323E-2</c:v>
                </c:pt>
                <c:pt idx="6">
                  <c:v>2.6158893648817461E-2</c:v>
                </c:pt>
                <c:pt idx="7">
                  <c:v>2.0027902949875866E-2</c:v>
                </c:pt>
                <c:pt idx="8">
                  <c:v>1.582451591101303E-2</c:v>
                </c:pt>
                <c:pt idx="9">
                  <c:v>1.2817857887920555E-2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54A-4B89-9F49-B77C93AC1A57}"/>
            </c:ext>
          </c:extLst>
        </c:ser>
        <c:ser>
          <c:idx val="8"/>
          <c:order val="8"/>
          <c:tx>
            <c:strRef>
              <c:f>'Turbine Trade Jet-A'!$Q$4</c:f>
              <c:strCache>
                <c:ptCount val="1"/>
                <c:pt idx="0">
                  <c:v>10% CC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'Turbine Trade Jet-A'!$G$5:$G$14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Jet-A'!$Q$5:$Q$14</c:f>
              <c:numCache>
                <c:formatCode>0.00</c:formatCode>
                <c:ptCount val="10"/>
                <c:pt idx="0">
                  <c:v>0.63455803033187375</c:v>
                </c:pt>
                <c:pt idx="1">
                  <c:v>0.63455803033187375</c:v>
                </c:pt>
                <c:pt idx="2">
                  <c:v>0.63455803033187375</c:v>
                </c:pt>
                <c:pt idx="3">
                  <c:v>0.63455803033187375</c:v>
                </c:pt>
                <c:pt idx="4">
                  <c:v>0.63455803033187375</c:v>
                </c:pt>
                <c:pt idx="5">
                  <c:v>0.63455803033187375</c:v>
                </c:pt>
                <c:pt idx="6">
                  <c:v>0.63455803033187375</c:v>
                </c:pt>
                <c:pt idx="7">
                  <c:v>0.63455803033187375</c:v>
                </c:pt>
                <c:pt idx="8">
                  <c:v>0.63455803033187375</c:v>
                </c:pt>
                <c:pt idx="9">
                  <c:v>0.63455803033187375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54A-4B89-9F49-B77C93AC1A57}"/>
            </c:ext>
          </c:extLst>
        </c:ser>
        <c:ser>
          <c:idx val="9"/>
          <c:order val="9"/>
          <c:tx>
            <c:strRef>
              <c:f>'Turbine Trade Jet-A'!$R$4</c:f>
              <c:strCache>
                <c:ptCount val="1"/>
                <c:pt idx="0">
                  <c:v>1% CC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'Turbine Trade Jet-A'!$G$5:$G$14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Jet-A'!$R$5:$R$14</c:f>
              <c:numCache>
                <c:formatCode>0.00</c:formatCode>
                <c:ptCount val="10"/>
                <c:pt idx="0">
                  <c:v>6.3455803033187375E-2</c:v>
                </c:pt>
                <c:pt idx="1">
                  <c:v>6.3455803033187375E-2</c:v>
                </c:pt>
                <c:pt idx="2">
                  <c:v>6.3455803033187375E-2</c:v>
                </c:pt>
                <c:pt idx="3">
                  <c:v>6.3455803033187375E-2</c:v>
                </c:pt>
                <c:pt idx="4">
                  <c:v>6.3455803033187375E-2</c:v>
                </c:pt>
                <c:pt idx="5">
                  <c:v>6.3455803033187375E-2</c:v>
                </c:pt>
                <c:pt idx="6">
                  <c:v>6.3455803033187375E-2</c:v>
                </c:pt>
                <c:pt idx="7">
                  <c:v>6.3455803033187375E-2</c:v>
                </c:pt>
                <c:pt idx="8">
                  <c:v>6.3455803033187375E-2</c:v>
                </c:pt>
                <c:pt idx="9">
                  <c:v>6.3455803033187375E-2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54A-4B89-9F49-B77C93AC1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152495"/>
        <c:axId val="1436150095"/>
      </c:scatterChart>
      <c:valAx>
        <c:axId val="1436152495"/>
        <c:scaling>
          <c:orientation val="minMax"/>
          <c:max val="5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Rotor Speed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0095"/>
        <c:crosses val="autoZero"/>
        <c:crossBetween val="midCat"/>
      </c:valAx>
      <c:valAx>
        <c:axId val="1436150095"/>
        <c:scaling>
          <c:logBase val="10"/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Flow (kg/s)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'Turbine Trade Jet-A'!$U$4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'Turbine Trade Jet-A'!$T$5:$T$14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Jet-A'!$U$5:$U$14</c:f>
              <c:numCache>
                <c:formatCode>0.00</c:formatCode>
                <c:ptCount val="10"/>
                <c:pt idx="0">
                  <c:v>1.4828491989696002</c:v>
                </c:pt>
                <c:pt idx="1">
                  <c:v>5.9313967958784009</c:v>
                </c:pt>
                <c:pt idx="2">
                  <c:v>13.3456427907264</c:v>
                </c:pt>
                <c:pt idx="3">
                  <c:v>23.725587183513603</c:v>
                </c:pt>
                <c:pt idx="4">
                  <c:v>37.071229974239998</c:v>
                </c:pt>
                <c:pt idx="5">
                  <c:v>53.382571162905599</c:v>
                </c:pt>
                <c:pt idx="6">
                  <c:v>72.659610749510392</c:v>
                </c:pt>
                <c:pt idx="7">
                  <c:v>94.902348734054414</c:v>
                </c:pt>
                <c:pt idx="8">
                  <c:v>120.1107851165376</c:v>
                </c:pt>
                <c:pt idx="9">
                  <c:v>148.28491989695999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28-41DA-A38A-34718EAE5813}"/>
            </c:ext>
          </c:extLst>
        </c:ser>
        <c:ser>
          <c:idx val="1"/>
          <c:order val="1"/>
          <c:tx>
            <c:strRef>
              <c:f>'Turbine Trade Jet-A'!$V$4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'Turbine Trade Jet-A'!$T$5:$T$14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Jet-A'!$V$5:$V$14</c:f>
              <c:numCache>
                <c:formatCode>0.00</c:formatCode>
                <c:ptCount val="10"/>
                <c:pt idx="0">
                  <c:v>5.9313967958784009</c:v>
                </c:pt>
                <c:pt idx="1">
                  <c:v>23.725587183513603</c:v>
                </c:pt>
                <c:pt idx="2">
                  <c:v>53.382571162905599</c:v>
                </c:pt>
                <c:pt idx="3">
                  <c:v>94.902348734054414</c:v>
                </c:pt>
                <c:pt idx="4">
                  <c:v>148.28491989695999</c:v>
                </c:pt>
                <c:pt idx="5">
                  <c:v>213.5302846516224</c:v>
                </c:pt>
                <c:pt idx="6">
                  <c:v>290.63844299804157</c:v>
                </c:pt>
                <c:pt idx="7">
                  <c:v>379.60939493621765</c:v>
                </c:pt>
                <c:pt idx="8">
                  <c:v>480.4431404661504</c:v>
                </c:pt>
                <c:pt idx="9">
                  <c:v>593.13967958783996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28-41DA-A38A-34718EAE5813}"/>
            </c:ext>
          </c:extLst>
        </c:ser>
        <c:ser>
          <c:idx val="2"/>
          <c:order val="2"/>
          <c:tx>
            <c:strRef>
              <c:f>'Turbine Trade Jet-A'!$W$4</c:f>
              <c:strCache>
                <c:ptCount val="1"/>
                <c:pt idx="0">
                  <c:v>12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'Turbine Trade Jet-A'!$T$5:$T$14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Jet-A'!$W$5:$W$14</c:f>
              <c:numCache>
                <c:formatCode>0.00</c:formatCode>
                <c:ptCount val="10"/>
                <c:pt idx="0">
                  <c:v>13.345642790726401</c:v>
                </c:pt>
                <c:pt idx="1">
                  <c:v>53.382571162905606</c:v>
                </c:pt>
                <c:pt idx="2">
                  <c:v>120.11078511653757</c:v>
                </c:pt>
                <c:pt idx="3">
                  <c:v>213.53028465162242</c:v>
                </c:pt>
                <c:pt idx="4">
                  <c:v>333.64106976815998</c:v>
                </c:pt>
                <c:pt idx="5">
                  <c:v>480.44314046615028</c:v>
                </c:pt>
                <c:pt idx="6">
                  <c:v>653.93649674559344</c:v>
                </c:pt>
                <c:pt idx="7">
                  <c:v>854.12113860648969</c:v>
                </c:pt>
                <c:pt idx="8">
                  <c:v>1080.9970660488384</c:v>
                </c:pt>
                <c:pt idx="9">
                  <c:v>1334.5642790726399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28-41DA-A38A-34718EAE5813}"/>
            </c:ext>
          </c:extLst>
        </c:ser>
        <c:ser>
          <c:idx val="3"/>
          <c:order val="3"/>
          <c:tx>
            <c:strRef>
              <c:f>'Turbine Trade Jet-A'!$X$4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'Turbine Trade Jet-A'!$T$5:$T$14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Jet-A'!$X$5:$X$14</c:f>
              <c:numCache>
                <c:formatCode>0.00</c:formatCode>
                <c:ptCount val="10"/>
                <c:pt idx="0">
                  <c:v>23.725587183513603</c:v>
                </c:pt>
                <c:pt idx="1">
                  <c:v>94.902348734054414</c:v>
                </c:pt>
                <c:pt idx="2">
                  <c:v>213.5302846516224</c:v>
                </c:pt>
                <c:pt idx="3">
                  <c:v>379.60939493621765</c:v>
                </c:pt>
                <c:pt idx="4">
                  <c:v>593.13967958783996</c:v>
                </c:pt>
                <c:pt idx="5">
                  <c:v>854.12113860648958</c:v>
                </c:pt>
                <c:pt idx="6">
                  <c:v>1162.5537719921663</c:v>
                </c:pt>
                <c:pt idx="7">
                  <c:v>1518.4375797448706</c:v>
                </c:pt>
                <c:pt idx="8">
                  <c:v>1921.7725618646016</c:v>
                </c:pt>
                <c:pt idx="9">
                  <c:v>2372.5587183513599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28-41DA-A38A-34718EAE5813}"/>
            </c:ext>
          </c:extLst>
        </c:ser>
        <c:ser>
          <c:idx val="4"/>
          <c:order val="4"/>
          <c:tx>
            <c:strRef>
              <c:f>'Turbine Trade Jet-A'!$Y$4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'Turbine Trade Jet-A'!$G$5:$G$14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Jet-A'!$Y$5:$Y$14</c:f>
              <c:numCache>
                <c:formatCode>0.00</c:formatCode>
                <c:ptCount val="10"/>
                <c:pt idx="0">
                  <c:v>37.071229974240012</c:v>
                </c:pt>
                <c:pt idx="1">
                  <c:v>148.28491989696005</c:v>
                </c:pt>
                <c:pt idx="2">
                  <c:v>333.64106976815998</c:v>
                </c:pt>
                <c:pt idx="3">
                  <c:v>593.13967958784019</c:v>
                </c:pt>
                <c:pt idx="4">
                  <c:v>926.78074935600011</c:v>
                </c:pt>
                <c:pt idx="5">
                  <c:v>1334.5642790726399</c:v>
                </c:pt>
                <c:pt idx="6">
                  <c:v>1816.4902687377601</c:v>
                </c:pt>
                <c:pt idx="7">
                  <c:v>2372.5587183513608</c:v>
                </c:pt>
                <c:pt idx="8">
                  <c:v>3002.7696279134407</c:v>
                </c:pt>
                <c:pt idx="9">
                  <c:v>3707.1229974240005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928-41DA-A38A-34718EAE5813}"/>
            </c:ext>
          </c:extLst>
        </c:ser>
        <c:ser>
          <c:idx val="5"/>
          <c:order val="5"/>
          <c:tx>
            <c:strRef>
              <c:f>'Turbine Trade Jet-A'!$Z$4</c:f>
              <c:strCache>
                <c:ptCount val="1"/>
                <c:pt idx="0">
                  <c:v>24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'Turbine Trade Jet-A'!$T$5:$T$14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Jet-A'!$Z$5:$Z$14</c:f>
              <c:numCache>
                <c:formatCode>0.00</c:formatCode>
                <c:ptCount val="10"/>
                <c:pt idx="0">
                  <c:v>53.382571162905606</c:v>
                </c:pt>
                <c:pt idx="1">
                  <c:v>213.53028465162242</c:v>
                </c:pt>
                <c:pt idx="2">
                  <c:v>480.44314046615028</c:v>
                </c:pt>
                <c:pt idx="3">
                  <c:v>854.12113860648969</c:v>
                </c:pt>
                <c:pt idx="4">
                  <c:v>1334.5642790726399</c:v>
                </c:pt>
                <c:pt idx="5">
                  <c:v>1921.7725618646011</c:v>
                </c:pt>
                <c:pt idx="6">
                  <c:v>2615.7459869823738</c:v>
                </c:pt>
                <c:pt idx="7">
                  <c:v>3416.4845544259588</c:v>
                </c:pt>
                <c:pt idx="8">
                  <c:v>4323.9882641953536</c:v>
                </c:pt>
                <c:pt idx="9">
                  <c:v>5338.2571162905597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928-41DA-A38A-34718EAE5813}"/>
            </c:ext>
          </c:extLst>
        </c:ser>
        <c:ser>
          <c:idx val="6"/>
          <c:order val="6"/>
          <c:tx>
            <c:strRef>
              <c:f>'Turbine Trade Jet-A'!$AA$4</c:f>
              <c:strCache>
                <c:ptCount val="1"/>
                <c:pt idx="0">
                  <c:v>28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'Turbine Trade Jet-A'!$T$5:$T$14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Jet-A'!$AA$5:$AA$14</c:f>
              <c:numCache>
                <c:formatCode>0.00</c:formatCode>
                <c:ptCount val="10"/>
                <c:pt idx="0">
                  <c:v>72.659610749510421</c:v>
                </c:pt>
                <c:pt idx="1">
                  <c:v>290.63844299804168</c:v>
                </c:pt>
                <c:pt idx="2">
                  <c:v>653.93649674559356</c:v>
                </c:pt>
                <c:pt idx="3">
                  <c:v>1162.5537719921667</c:v>
                </c:pt>
                <c:pt idx="4">
                  <c:v>1816.4902687377601</c:v>
                </c:pt>
                <c:pt idx="5">
                  <c:v>2615.7459869823742</c:v>
                </c:pt>
                <c:pt idx="6">
                  <c:v>3560.3209267260095</c:v>
                </c:pt>
                <c:pt idx="7">
                  <c:v>4650.2150879686669</c:v>
                </c:pt>
                <c:pt idx="8">
                  <c:v>5885.4284707103434</c:v>
                </c:pt>
                <c:pt idx="9">
                  <c:v>7265.9610749510402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928-41DA-A38A-34718EAE5813}"/>
            </c:ext>
          </c:extLst>
        </c:ser>
        <c:ser>
          <c:idx val="7"/>
          <c:order val="7"/>
          <c:tx>
            <c:strRef>
              <c:f>'Turbine Trade Jet-A'!$AB$4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'Turbine Trade Jet-A'!$T$5:$T$14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Jet-A'!$AB$5:$AB$14</c:f>
              <c:numCache>
                <c:formatCode>0.00</c:formatCode>
                <c:ptCount val="10"/>
                <c:pt idx="0">
                  <c:v>94.902348734054414</c:v>
                </c:pt>
                <c:pt idx="1">
                  <c:v>379.60939493621765</c:v>
                </c:pt>
                <c:pt idx="2">
                  <c:v>854.12113860648958</c:v>
                </c:pt>
                <c:pt idx="3">
                  <c:v>1518.4375797448706</c:v>
                </c:pt>
                <c:pt idx="4">
                  <c:v>2372.5587183513599</c:v>
                </c:pt>
                <c:pt idx="5">
                  <c:v>3416.4845544259583</c:v>
                </c:pt>
                <c:pt idx="6">
                  <c:v>4650.2150879686651</c:v>
                </c:pt>
                <c:pt idx="7">
                  <c:v>6073.7503189794825</c:v>
                </c:pt>
                <c:pt idx="8">
                  <c:v>7687.0902474584063</c:v>
                </c:pt>
                <c:pt idx="9">
                  <c:v>9490.2348734054394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928-41DA-A38A-34718EAE5813}"/>
            </c:ext>
          </c:extLst>
        </c:ser>
        <c:ser>
          <c:idx val="8"/>
          <c:order val="8"/>
          <c:tx>
            <c:strRef>
              <c:f>'Turbine Trade Jet-A'!$AD$4</c:f>
              <c:strCache>
                <c:ptCount val="1"/>
                <c:pt idx="0">
                  <c:v>Inco 718 @ 950K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'Turbine Trade Jet-A'!$T$5:$T$14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Jet-A'!$AD$5:$AD$14</c:f>
              <c:numCache>
                <c:formatCode>0.00</c:formatCode>
                <c:ptCount val="10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928-41DA-A38A-34718EAE5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152495"/>
        <c:axId val="1436150095"/>
      </c:scatterChart>
      <c:valAx>
        <c:axId val="1436152495"/>
        <c:scaling>
          <c:orientation val="minMax"/>
          <c:max val="5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Rotor Speed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0095"/>
        <c:crosses val="autoZero"/>
        <c:crossBetween val="midCat"/>
      </c:valAx>
      <c:valAx>
        <c:axId val="1436150095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Central Elastic 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'Ethanol CC CEA'!$B$3</c:f>
              <c:strCache>
                <c:ptCount val="1"/>
                <c:pt idx="0">
                  <c:v>1.0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'Ethanol CC CEA'!$A$4:$A$13</c:f>
              <c:numCache>
                <c:formatCode>0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'Ethanol CC CEA'!$B$4:$B$13</c:f>
              <c:numCache>
                <c:formatCode>0.0</c:formatCode>
                <c:ptCount val="10"/>
                <c:pt idx="0">
                  <c:v>1632.2981269845889</c:v>
                </c:pt>
                <c:pt idx="1">
                  <c:v>1633.5533601223619</c:v>
                </c:pt>
                <c:pt idx="2">
                  <c:v>1634.034250519876</c:v>
                </c:pt>
                <c:pt idx="3">
                  <c:v>1634.319870217236</c:v>
                </c:pt>
                <c:pt idx="4">
                  <c:v>1634.4854527232201</c:v>
                </c:pt>
                <c:pt idx="5">
                  <c:v>1634.5662839403028</c:v>
                </c:pt>
                <c:pt idx="6">
                  <c:v>1634.6309756941973</c:v>
                </c:pt>
                <c:pt idx="7">
                  <c:v>1634.6589726304585</c:v>
                </c:pt>
                <c:pt idx="8">
                  <c:v>1634.7379968363202</c:v>
                </c:pt>
                <c:pt idx="9">
                  <c:v>1634.7684186988054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2A-4EAC-8CB6-81B0AB159F39}"/>
            </c:ext>
          </c:extLst>
        </c:ser>
        <c:ser>
          <c:idx val="1"/>
          <c:order val="1"/>
          <c:tx>
            <c:strRef>
              <c:f>'Ethanol CC CEA'!$C$3</c:f>
              <c:strCache>
                <c:ptCount val="1"/>
                <c:pt idx="0">
                  <c:v>1.1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'Ethanol CC CEA'!$A$4:$A$13</c:f>
              <c:numCache>
                <c:formatCode>0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'Ethanol CC CEA'!$C$4:$C$13</c:f>
              <c:numCache>
                <c:formatCode>0.0</c:formatCode>
                <c:ptCount val="10"/>
                <c:pt idx="0">
                  <c:v>1658.200840222539</c:v>
                </c:pt>
                <c:pt idx="1">
                  <c:v>1662.8216856605407</c:v>
                </c:pt>
                <c:pt idx="2">
                  <c:v>1664.9568015006782</c:v>
                </c:pt>
                <c:pt idx="3">
                  <c:v>1666.2000040564392</c:v>
                </c:pt>
                <c:pt idx="4">
                  <c:v>1667.0571884755618</c:v>
                </c:pt>
                <c:pt idx="5">
                  <c:v>1667.7339172506399</c:v>
                </c:pt>
                <c:pt idx="6">
                  <c:v>1668.1812168588697</c:v>
                </c:pt>
                <c:pt idx="7">
                  <c:v>1668.5814191319698</c:v>
                </c:pt>
                <c:pt idx="8">
                  <c:v>1668.9282526573961</c:v>
                </c:pt>
                <c:pt idx="9">
                  <c:v>1669.1564873602149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2A-4EAC-8CB6-81B0AB159F39}"/>
            </c:ext>
          </c:extLst>
        </c:ser>
        <c:ser>
          <c:idx val="2"/>
          <c:order val="2"/>
          <c:tx>
            <c:strRef>
              <c:f>'Ethanol CC CEA'!$D$3</c:f>
              <c:strCache>
                <c:ptCount val="1"/>
                <c:pt idx="0">
                  <c:v>1.2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'Ethanol CC CEA'!$A$4:$A$13</c:f>
              <c:numCache>
                <c:formatCode>0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'Ethanol CC CEA'!$D$4:$D$13</c:f>
              <c:numCache>
                <c:formatCode>0.0</c:formatCode>
                <c:ptCount val="10"/>
                <c:pt idx="0">
                  <c:v>1666.6209850754267</c:v>
                </c:pt>
                <c:pt idx="1">
                  <c:v>1674.7834484939272</c:v>
                </c:pt>
                <c:pt idx="2">
                  <c:v>1679.0701058455747</c:v>
                </c:pt>
                <c:pt idx="3">
                  <c:v>1681.8390320851868</c:v>
                </c:pt>
                <c:pt idx="4">
                  <c:v>1683.8933281554239</c:v>
                </c:pt>
                <c:pt idx="5">
                  <c:v>1685.4289589487944</c:v>
                </c:pt>
                <c:pt idx="6">
                  <c:v>1686.7491591765379</c:v>
                </c:pt>
                <c:pt idx="7">
                  <c:v>1687.7191989522673</c:v>
                </c:pt>
                <c:pt idx="8">
                  <c:v>1688.6366206045511</c:v>
                </c:pt>
                <c:pt idx="9">
                  <c:v>1689.4221578510862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2A-4EAC-8CB6-81B0AB159F39}"/>
            </c:ext>
          </c:extLst>
        </c:ser>
        <c:ser>
          <c:idx val="3"/>
          <c:order val="3"/>
          <c:tx>
            <c:strRef>
              <c:f>'Ethanol CC CEA'!$E$3</c:f>
              <c:strCache>
                <c:ptCount val="1"/>
                <c:pt idx="0">
                  <c:v>1.3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'Ethanol CC CEA'!$A$4:$A$13</c:f>
              <c:numCache>
                <c:formatCode>0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'Ethanol CC CEA'!$E$4:$E$13</c:f>
              <c:numCache>
                <c:formatCode>0.0</c:formatCode>
                <c:ptCount val="10"/>
                <c:pt idx="0">
                  <c:v>1663.1537445296265</c:v>
                </c:pt>
                <c:pt idx="1">
                  <c:v>1673.5396822532132</c:v>
                </c:pt>
                <c:pt idx="2">
                  <c:v>1679.3349161102733</c:v>
                </c:pt>
                <c:pt idx="3">
                  <c:v>1683.2143414345785</c:v>
                </c:pt>
                <c:pt idx="4">
                  <c:v>1686.1693906769037</c:v>
                </c:pt>
                <c:pt idx="5">
                  <c:v>1688.5651508055253</c:v>
                </c:pt>
                <c:pt idx="6">
                  <c:v>1690.465468367046</c:v>
                </c:pt>
                <c:pt idx="7">
                  <c:v>1692.1023182324402</c:v>
                </c:pt>
                <c:pt idx="8">
                  <c:v>1693.5497769978256</c:v>
                </c:pt>
                <c:pt idx="9">
                  <c:v>1694.7956911658559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2A-4EAC-8CB6-81B0AB159F39}"/>
            </c:ext>
          </c:extLst>
        </c:ser>
        <c:ser>
          <c:idx val="4"/>
          <c:order val="4"/>
          <c:tx>
            <c:strRef>
              <c:f>'Ethanol CC CEA'!$F$3</c:f>
              <c:strCache>
                <c:ptCount val="1"/>
                <c:pt idx="0">
                  <c:v>1.4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'Ethanol CC CEA'!$A$4:$A$13</c:f>
              <c:numCache>
                <c:formatCode>0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'Ethanol CC CEA'!$F$4:$F$13</c:f>
              <c:numCache>
                <c:formatCode>0.0</c:formatCode>
                <c:ptCount val="10"/>
                <c:pt idx="0">
                  <c:v>1653.7732204702495</c:v>
                </c:pt>
                <c:pt idx="1">
                  <c:v>1665.074511733656</c:v>
                </c:pt>
                <c:pt idx="2">
                  <c:v>1671.4611778940991</c:v>
                </c:pt>
                <c:pt idx="3">
                  <c:v>1675.9362095463036</c:v>
                </c:pt>
                <c:pt idx="4">
                  <c:v>1679.3518937383394</c:v>
                </c:pt>
                <c:pt idx="5">
                  <c:v>1682.1055552060675</c:v>
                </c:pt>
                <c:pt idx="6">
                  <c:v>1684.3399258441439</c:v>
                </c:pt>
                <c:pt idx="7">
                  <c:v>1686.3422260287405</c:v>
                </c:pt>
                <c:pt idx="8">
                  <c:v>1688.0495630843743</c:v>
                </c:pt>
                <c:pt idx="9">
                  <c:v>1689.5323674351707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2A-4EAC-8CB6-81B0AB159F39}"/>
            </c:ext>
          </c:extLst>
        </c:ser>
        <c:ser>
          <c:idx val="5"/>
          <c:order val="5"/>
          <c:tx>
            <c:strRef>
              <c:f>'Ethanol CC CEA'!$G$3</c:f>
              <c:strCache>
                <c:ptCount val="1"/>
                <c:pt idx="0">
                  <c:v>1.5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'Ethanol CC CEA'!$A$4:$A$13</c:f>
              <c:numCache>
                <c:formatCode>0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'Ethanol CC CEA'!$G$4:$G$13</c:f>
              <c:numCache>
                <c:formatCode>0.0</c:formatCode>
                <c:ptCount val="10"/>
                <c:pt idx="0">
                  <c:v>1641.6619356110336</c:v>
                </c:pt>
                <c:pt idx="1">
                  <c:v>1653.2677964458985</c:v>
                </c:pt>
                <c:pt idx="2">
                  <c:v>1659.9068070528708</c:v>
                </c:pt>
                <c:pt idx="3">
                  <c:v>1664.4601759240695</c:v>
                </c:pt>
                <c:pt idx="4">
                  <c:v>1668.0447604919862</c:v>
                </c:pt>
                <c:pt idx="5">
                  <c:v>1670.9177108050835</c:v>
                </c:pt>
                <c:pt idx="6">
                  <c:v>1673.3069252051132</c:v>
                </c:pt>
                <c:pt idx="7">
                  <c:v>1675.4035522883503</c:v>
                </c:pt>
                <c:pt idx="8">
                  <c:v>1677.196363773915</c:v>
                </c:pt>
                <c:pt idx="9">
                  <c:v>1678.7555211418207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2A-4EAC-8CB6-81B0AB159F39}"/>
            </c:ext>
          </c:extLst>
        </c:ser>
        <c:ser>
          <c:idx val="6"/>
          <c:order val="6"/>
          <c:tx>
            <c:strRef>
              <c:f>'Ethanol CC CEA'!$H$3</c:f>
              <c:strCache>
                <c:ptCount val="1"/>
                <c:pt idx="0">
                  <c:v>1.6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'Ethanol CC CEA'!$A$4:$A$13</c:f>
              <c:numCache>
                <c:formatCode>0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'Ethanol CC CEA'!$H$4:$H$13</c:f>
              <c:numCache>
                <c:formatCode>0.0</c:formatCode>
                <c:ptCount val="10"/>
                <c:pt idx="0">
                  <c:v>1628.4697895563033</c:v>
                </c:pt>
                <c:pt idx="1">
                  <c:v>1639.9940132031663</c:v>
                </c:pt>
                <c:pt idx="2">
                  <c:v>1646.5935576980326</c:v>
                </c:pt>
                <c:pt idx="3">
                  <c:v>1651.2211907026615</c:v>
                </c:pt>
                <c:pt idx="4">
                  <c:v>1654.7652920783059</c:v>
                </c:pt>
                <c:pt idx="5">
                  <c:v>1657.6321171336524</c:v>
                </c:pt>
                <c:pt idx="6">
                  <c:v>1659.9892875170435</c:v>
                </c:pt>
                <c:pt idx="7">
                  <c:v>1662.0788305738477</c:v>
                </c:pt>
                <c:pt idx="8">
                  <c:v>1663.8647228937127</c:v>
                </c:pt>
                <c:pt idx="9">
                  <c:v>1665.4796638420021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F2A-4EAC-8CB6-81B0AB159F39}"/>
            </c:ext>
          </c:extLst>
        </c:ser>
        <c:ser>
          <c:idx val="7"/>
          <c:order val="7"/>
          <c:tx>
            <c:strRef>
              <c:f>'Ethanol CC CEA'!$I$3</c:f>
              <c:strCache>
                <c:ptCount val="1"/>
                <c:pt idx="0">
                  <c:v>1.7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'Ethanol CC CEA'!$A$4:$A$13</c:f>
              <c:numCache>
                <c:formatCode>0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'Ethanol CC CEA'!$I$4:$I$13</c:f>
              <c:numCache>
                <c:formatCode>0.0</c:formatCode>
                <c:ptCount val="10"/>
                <c:pt idx="0">
                  <c:v>1614.8628791857748</c:v>
                </c:pt>
                <c:pt idx="1">
                  <c:v>1626.2049899528974</c:v>
                </c:pt>
                <c:pt idx="2">
                  <c:v>1632.7197084265586</c:v>
                </c:pt>
                <c:pt idx="3">
                  <c:v>1637.2261808057387</c:v>
                </c:pt>
                <c:pt idx="4">
                  <c:v>1640.6524268999669</c:v>
                </c:pt>
                <c:pt idx="5">
                  <c:v>1643.4865225226099</c:v>
                </c:pt>
                <c:pt idx="6">
                  <c:v>1645.8023991025782</c:v>
                </c:pt>
                <c:pt idx="7">
                  <c:v>1647.8494690759346</c:v>
                </c:pt>
                <c:pt idx="8">
                  <c:v>1649.5927291106607</c:v>
                </c:pt>
                <c:pt idx="9">
                  <c:v>1651.1024375220277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F2A-4EAC-8CB6-81B0AB159F39}"/>
            </c:ext>
          </c:extLst>
        </c:ser>
        <c:ser>
          <c:idx val="8"/>
          <c:order val="8"/>
          <c:tx>
            <c:strRef>
              <c:f>'Ethanol CC CEA'!$J$3</c:f>
              <c:strCache>
                <c:ptCount val="1"/>
                <c:pt idx="0">
                  <c:v>1.8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'Ethanol CC CEA'!$A$4:$A$13</c:f>
              <c:numCache>
                <c:formatCode>0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'Ethanol CC CEA'!$J$4:$J$13</c:f>
              <c:numCache>
                <c:formatCode>0.0</c:formatCode>
                <c:ptCount val="10"/>
                <c:pt idx="0">
                  <c:v>1601.2397747589719</c:v>
                </c:pt>
                <c:pt idx="1">
                  <c:v>1612.2924346968598</c:v>
                </c:pt>
                <c:pt idx="2">
                  <c:v>1618.6366614792541</c:v>
                </c:pt>
                <c:pt idx="3">
                  <c:v>1622.9919929446448</c:v>
                </c:pt>
                <c:pt idx="4">
                  <c:v>1626.3697156853477</c:v>
                </c:pt>
                <c:pt idx="5">
                  <c:v>1629.0648068850244</c:v>
                </c:pt>
                <c:pt idx="6">
                  <c:v>1631.3259064606325</c:v>
                </c:pt>
                <c:pt idx="7">
                  <c:v>1633.2637036529072</c:v>
                </c:pt>
                <c:pt idx="8">
                  <c:v>1634.9430571286543</c:v>
                </c:pt>
                <c:pt idx="9">
                  <c:v>1636.4737177468537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F2A-4EAC-8CB6-81B0AB159F39}"/>
            </c:ext>
          </c:extLst>
        </c:ser>
        <c:ser>
          <c:idx val="9"/>
          <c:order val="9"/>
          <c:tx>
            <c:strRef>
              <c:f>'Ethanol CC CEA'!$K$3</c:f>
              <c:strCache>
                <c:ptCount val="1"/>
                <c:pt idx="0">
                  <c:v>1.9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'Ethanol CC CEA'!$A$4:$A$13</c:f>
              <c:numCache>
                <c:formatCode>0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'Ethanol CC CEA'!$K$4:$K$13</c:f>
              <c:numCache>
                <c:formatCode>0.0</c:formatCode>
                <c:ptCount val="10"/>
                <c:pt idx="0">
                  <c:v>1587.8690584155208</c:v>
                </c:pt>
                <c:pt idx="1">
                  <c:v>1598.6039901996246</c:v>
                </c:pt>
                <c:pt idx="2">
                  <c:v>1604.6811029598575</c:v>
                </c:pt>
                <c:pt idx="3">
                  <c:v>1608.8985166870673</c:v>
                </c:pt>
                <c:pt idx="4">
                  <c:v>1612.1254157007315</c:v>
                </c:pt>
                <c:pt idx="5">
                  <c:v>1614.6675603408394</c:v>
                </c:pt>
                <c:pt idx="6">
                  <c:v>1616.8758263254124</c:v>
                </c:pt>
                <c:pt idx="7">
                  <c:v>1618.7030714256528</c:v>
                </c:pt>
                <c:pt idx="8">
                  <c:v>1620.3591200317501</c:v>
                </c:pt>
                <c:pt idx="9">
                  <c:v>1621.7494015123191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F2A-4EAC-8CB6-81B0AB159F39}"/>
            </c:ext>
          </c:extLst>
        </c:ser>
        <c:ser>
          <c:idx val="10"/>
          <c:order val="10"/>
          <c:tx>
            <c:strRef>
              <c:f>'Ethanol CC CEA'!$L$3</c:f>
              <c:strCache>
                <c:ptCount val="1"/>
                <c:pt idx="0">
                  <c:v>2.0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'Ethanol CC CEA'!$A$4:$A$13</c:f>
              <c:numCache>
                <c:formatCode>0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'Ethanol CC CEA'!$L$4:$L$13</c:f>
              <c:numCache>
                <c:formatCode>0.0</c:formatCode>
                <c:ptCount val="10"/>
                <c:pt idx="0">
                  <c:v>1574.6616623405591</c:v>
                </c:pt>
                <c:pt idx="1">
                  <c:v>1585.0907736843865</c:v>
                </c:pt>
                <c:pt idx="2">
                  <c:v>1590.9427684623672</c:v>
                </c:pt>
                <c:pt idx="3">
                  <c:v>1594.9413384049278</c:v>
                </c:pt>
                <c:pt idx="4">
                  <c:v>1598.0528459774371</c:v>
                </c:pt>
                <c:pt idx="5">
                  <c:v>1600.5273672640128</c:v>
                </c:pt>
                <c:pt idx="6">
                  <c:v>1602.6031611008616</c:v>
                </c:pt>
                <c:pt idx="7">
                  <c:v>1604.3318127140019</c:v>
                </c:pt>
                <c:pt idx="8">
                  <c:v>1605.9021674873629</c:v>
                </c:pt>
                <c:pt idx="9">
                  <c:v>1607.268447446696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F2A-4EAC-8CB6-81B0AB159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676767"/>
        <c:axId val="1206677247"/>
      </c:scatterChart>
      <c:valAx>
        <c:axId val="1206676767"/>
        <c:scaling>
          <c:orientation val="minMax"/>
          <c:max val="100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Chamber Pressure (bar)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77247"/>
        <c:crosses val="autoZero"/>
        <c:crossBetween val="midCat"/>
      </c:valAx>
      <c:valAx>
        <c:axId val="120667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Star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76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9322671568176"/>
          <c:y val="3.1057108843272757E-2"/>
          <c:w val="0.75085459596388338"/>
          <c:h val="0.843801639112838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'Ethanol CC CEA'!$A$4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CEA'!$B$4:$L$4</c:f>
              <c:numCache>
                <c:formatCode>0.0</c:formatCode>
                <c:ptCount val="11"/>
                <c:pt idx="0">
                  <c:v>1632.2981269845889</c:v>
                </c:pt>
                <c:pt idx="1">
                  <c:v>1658.200840222539</c:v>
                </c:pt>
                <c:pt idx="2">
                  <c:v>1666.6209850754267</c:v>
                </c:pt>
                <c:pt idx="3">
                  <c:v>1663.1537445296265</c:v>
                </c:pt>
                <c:pt idx="4">
                  <c:v>1653.7732204702495</c:v>
                </c:pt>
                <c:pt idx="5">
                  <c:v>1641.6619356110336</c:v>
                </c:pt>
                <c:pt idx="6">
                  <c:v>1628.4697895563033</c:v>
                </c:pt>
                <c:pt idx="7">
                  <c:v>1614.8628791857748</c:v>
                </c:pt>
                <c:pt idx="8">
                  <c:v>1601.2397747589719</c:v>
                </c:pt>
                <c:pt idx="9">
                  <c:v>1587.8690584155208</c:v>
                </c:pt>
                <c:pt idx="10">
                  <c:v>1574.6616623405591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38-4D8B-9C6D-455A809466A7}"/>
            </c:ext>
          </c:extLst>
        </c:ser>
        <c:ser>
          <c:idx val="1"/>
          <c:order val="1"/>
          <c:tx>
            <c:strRef>
              <c:f>'Ethanol CC CEA'!$A$5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CEA'!$B$5:$L$5</c:f>
              <c:numCache>
                <c:formatCode>0.0</c:formatCode>
                <c:ptCount val="11"/>
                <c:pt idx="0">
                  <c:v>1633.5533601223619</c:v>
                </c:pt>
                <c:pt idx="1">
                  <c:v>1662.8216856605407</c:v>
                </c:pt>
                <c:pt idx="2">
                  <c:v>1674.7834484939272</c:v>
                </c:pt>
                <c:pt idx="3">
                  <c:v>1673.5396822532132</c:v>
                </c:pt>
                <c:pt idx="4">
                  <c:v>1665.074511733656</c:v>
                </c:pt>
                <c:pt idx="5">
                  <c:v>1653.2677964458985</c:v>
                </c:pt>
                <c:pt idx="6">
                  <c:v>1639.9940132031663</c:v>
                </c:pt>
                <c:pt idx="7">
                  <c:v>1626.2049899528974</c:v>
                </c:pt>
                <c:pt idx="8">
                  <c:v>1612.2924346968598</c:v>
                </c:pt>
                <c:pt idx="9">
                  <c:v>1598.6039901996246</c:v>
                </c:pt>
                <c:pt idx="10">
                  <c:v>1585.0907736843865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38-4D8B-9C6D-455A809466A7}"/>
            </c:ext>
          </c:extLst>
        </c:ser>
        <c:ser>
          <c:idx val="2"/>
          <c:order val="2"/>
          <c:tx>
            <c:strRef>
              <c:f>'Ethanol CC CEA'!$A$6</c:f>
              <c:strCache>
                <c:ptCount val="1"/>
                <c:pt idx="0">
                  <c:v>30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CEA'!$B$6:$L$6</c:f>
              <c:numCache>
                <c:formatCode>0.0</c:formatCode>
                <c:ptCount val="11"/>
                <c:pt idx="0">
                  <c:v>1634.034250519876</c:v>
                </c:pt>
                <c:pt idx="1">
                  <c:v>1664.9568015006782</c:v>
                </c:pt>
                <c:pt idx="2">
                  <c:v>1679.0701058455747</c:v>
                </c:pt>
                <c:pt idx="3">
                  <c:v>1679.3349161102733</c:v>
                </c:pt>
                <c:pt idx="4">
                  <c:v>1671.4611778940991</c:v>
                </c:pt>
                <c:pt idx="5">
                  <c:v>1659.9068070528708</c:v>
                </c:pt>
                <c:pt idx="6">
                  <c:v>1646.5935576980326</c:v>
                </c:pt>
                <c:pt idx="7">
                  <c:v>1632.7197084265586</c:v>
                </c:pt>
                <c:pt idx="8">
                  <c:v>1618.6366614792541</c:v>
                </c:pt>
                <c:pt idx="9">
                  <c:v>1604.6811029598575</c:v>
                </c:pt>
                <c:pt idx="10">
                  <c:v>1590.9427684623672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38-4D8B-9C6D-455A809466A7}"/>
            </c:ext>
          </c:extLst>
        </c:ser>
        <c:ser>
          <c:idx val="3"/>
          <c:order val="3"/>
          <c:tx>
            <c:strRef>
              <c:f>'Ethanol CC CEA'!$A$7</c:f>
              <c:strCache>
                <c:ptCount val="1"/>
                <c:pt idx="0">
                  <c:v>40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CEA'!$B$7:$L$7</c:f>
              <c:numCache>
                <c:formatCode>0.0</c:formatCode>
                <c:ptCount val="11"/>
                <c:pt idx="0">
                  <c:v>1634.319870217236</c:v>
                </c:pt>
                <c:pt idx="1">
                  <c:v>1666.2000040564392</c:v>
                </c:pt>
                <c:pt idx="2">
                  <c:v>1681.8390320851868</c:v>
                </c:pt>
                <c:pt idx="3">
                  <c:v>1683.2143414345785</c:v>
                </c:pt>
                <c:pt idx="4">
                  <c:v>1675.9362095463036</c:v>
                </c:pt>
                <c:pt idx="5">
                  <c:v>1664.4601759240695</c:v>
                </c:pt>
                <c:pt idx="6">
                  <c:v>1651.2211907026615</c:v>
                </c:pt>
                <c:pt idx="7">
                  <c:v>1637.2261808057387</c:v>
                </c:pt>
                <c:pt idx="8">
                  <c:v>1622.9919929446448</c:v>
                </c:pt>
                <c:pt idx="9">
                  <c:v>1608.8985166870673</c:v>
                </c:pt>
                <c:pt idx="10">
                  <c:v>1594.9413384049278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38-4D8B-9C6D-455A809466A7}"/>
            </c:ext>
          </c:extLst>
        </c:ser>
        <c:ser>
          <c:idx val="4"/>
          <c:order val="4"/>
          <c:tx>
            <c:strRef>
              <c:f>'Ethanol CC CEA'!$A$8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CEA'!$B$8:$L$8</c:f>
              <c:numCache>
                <c:formatCode>0.0</c:formatCode>
                <c:ptCount val="11"/>
                <c:pt idx="0">
                  <c:v>1634.4854527232201</c:v>
                </c:pt>
                <c:pt idx="1">
                  <c:v>1667.0571884755618</c:v>
                </c:pt>
                <c:pt idx="2">
                  <c:v>1683.8933281554239</c:v>
                </c:pt>
                <c:pt idx="3">
                  <c:v>1686.1693906769037</c:v>
                </c:pt>
                <c:pt idx="4">
                  <c:v>1679.3518937383394</c:v>
                </c:pt>
                <c:pt idx="5">
                  <c:v>1668.0447604919862</c:v>
                </c:pt>
                <c:pt idx="6">
                  <c:v>1654.7652920783059</c:v>
                </c:pt>
                <c:pt idx="7">
                  <c:v>1640.6524268999669</c:v>
                </c:pt>
                <c:pt idx="8">
                  <c:v>1626.3697156853477</c:v>
                </c:pt>
                <c:pt idx="9">
                  <c:v>1612.1254157007315</c:v>
                </c:pt>
                <c:pt idx="10">
                  <c:v>1598.0528459774371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38-4D8B-9C6D-455A809466A7}"/>
            </c:ext>
          </c:extLst>
        </c:ser>
        <c:ser>
          <c:idx val="5"/>
          <c:order val="5"/>
          <c:tx>
            <c:strRef>
              <c:f>'Ethanol CC CEA'!$A$9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CEA'!$B$9:$L$9</c:f>
              <c:numCache>
                <c:formatCode>0.0</c:formatCode>
                <c:ptCount val="11"/>
                <c:pt idx="0">
                  <c:v>1634.5662839403028</c:v>
                </c:pt>
                <c:pt idx="1">
                  <c:v>1667.7339172506399</c:v>
                </c:pt>
                <c:pt idx="2">
                  <c:v>1685.4289589487944</c:v>
                </c:pt>
                <c:pt idx="3">
                  <c:v>1688.5651508055253</c:v>
                </c:pt>
                <c:pt idx="4">
                  <c:v>1682.1055552060675</c:v>
                </c:pt>
                <c:pt idx="5">
                  <c:v>1670.9177108050835</c:v>
                </c:pt>
                <c:pt idx="6">
                  <c:v>1657.6321171336524</c:v>
                </c:pt>
                <c:pt idx="7">
                  <c:v>1643.4865225226099</c:v>
                </c:pt>
                <c:pt idx="8">
                  <c:v>1629.0648068850244</c:v>
                </c:pt>
                <c:pt idx="9">
                  <c:v>1614.6675603408394</c:v>
                </c:pt>
                <c:pt idx="10">
                  <c:v>1600.5273672640128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838-4D8B-9C6D-455A809466A7}"/>
            </c:ext>
          </c:extLst>
        </c:ser>
        <c:ser>
          <c:idx val="6"/>
          <c:order val="6"/>
          <c:tx>
            <c:strRef>
              <c:f>'Ethanol CC CEA'!$A$10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CEA'!$B$10:$L$10</c:f>
              <c:numCache>
                <c:formatCode>0.0</c:formatCode>
                <c:ptCount val="11"/>
                <c:pt idx="0">
                  <c:v>1634.6309756941973</c:v>
                </c:pt>
                <c:pt idx="1">
                  <c:v>1668.1812168588697</c:v>
                </c:pt>
                <c:pt idx="2">
                  <c:v>1686.7491591765379</c:v>
                </c:pt>
                <c:pt idx="3">
                  <c:v>1690.465468367046</c:v>
                </c:pt>
                <c:pt idx="4">
                  <c:v>1684.3399258441439</c:v>
                </c:pt>
                <c:pt idx="5">
                  <c:v>1673.3069252051132</c:v>
                </c:pt>
                <c:pt idx="6">
                  <c:v>1659.9892875170435</c:v>
                </c:pt>
                <c:pt idx="7">
                  <c:v>1645.8023991025782</c:v>
                </c:pt>
                <c:pt idx="8">
                  <c:v>1631.3259064606325</c:v>
                </c:pt>
                <c:pt idx="9">
                  <c:v>1616.8758263254124</c:v>
                </c:pt>
                <c:pt idx="10">
                  <c:v>1602.6031611008616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838-4D8B-9C6D-455A809466A7}"/>
            </c:ext>
          </c:extLst>
        </c:ser>
        <c:ser>
          <c:idx val="7"/>
          <c:order val="7"/>
          <c:tx>
            <c:strRef>
              <c:f>'Ethanol CC CEA'!$A$11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CEA'!$B$11:$L$11</c:f>
              <c:numCache>
                <c:formatCode>0.0</c:formatCode>
                <c:ptCount val="11"/>
                <c:pt idx="0">
                  <c:v>1634.6589726304585</c:v>
                </c:pt>
                <c:pt idx="1">
                  <c:v>1668.5814191319698</c:v>
                </c:pt>
                <c:pt idx="2">
                  <c:v>1687.7191989522673</c:v>
                </c:pt>
                <c:pt idx="3">
                  <c:v>1692.1023182324402</c:v>
                </c:pt>
                <c:pt idx="4">
                  <c:v>1686.3422260287405</c:v>
                </c:pt>
                <c:pt idx="5">
                  <c:v>1675.4035522883503</c:v>
                </c:pt>
                <c:pt idx="6">
                  <c:v>1662.0788305738477</c:v>
                </c:pt>
                <c:pt idx="7">
                  <c:v>1647.8494690759346</c:v>
                </c:pt>
                <c:pt idx="8">
                  <c:v>1633.2637036529072</c:v>
                </c:pt>
                <c:pt idx="9">
                  <c:v>1618.7030714256528</c:v>
                </c:pt>
                <c:pt idx="10">
                  <c:v>1604.3318127140019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838-4D8B-9C6D-455A809466A7}"/>
            </c:ext>
          </c:extLst>
        </c:ser>
        <c:ser>
          <c:idx val="8"/>
          <c:order val="8"/>
          <c:tx>
            <c:strRef>
              <c:f>'Ethanol CC CEA'!$A$12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838-4D8B-9C6D-455A809466A7}"/>
              </c:ext>
            </c:extLst>
          </c:dPt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CEA'!$B$12:$L$12</c:f>
              <c:numCache>
                <c:formatCode>0.0</c:formatCode>
                <c:ptCount val="11"/>
                <c:pt idx="0">
                  <c:v>1634.7379968363202</c:v>
                </c:pt>
                <c:pt idx="1">
                  <c:v>1668.9282526573961</c:v>
                </c:pt>
                <c:pt idx="2">
                  <c:v>1688.6366206045511</c:v>
                </c:pt>
                <c:pt idx="3">
                  <c:v>1693.5497769978256</c:v>
                </c:pt>
                <c:pt idx="4">
                  <c:v>1688.0495630843743</c:v>
                </c:pt>
                <c:pt idx="5">
                  <c:v>1677.196363773915</c:v>
                </c:pt>
                <c:pt idx="6">
                  <c:v>1663.8647228937127</c:v>
                </c:pt>
                <c:pt idx="7">
                  <c:v>1649.5927291106607</c:v>
                </c:pt>
                <c:pt idx="8">
                  <c:v>1634.9430571286543</c:v>
                </c:pt>
                <c:pt idx="9">
                  <c:v>1620.3591200317501</c:v>
                </c:pt>
                <c:pt idx="10">
                  <c:v>1605.9021674873629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838-4D8B-9C6D-455A809466A7}"/>
            </c:ext>
          </c:extLst>
        </c:ser>
        <c:ser>
          <c:idx val="9"/>
          <c:order val="9"/>
          <c:tx>
            <c:strRef>
              <c:f>'Ethanol CC CEA'!$A$13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CEA'!$B$13:$L$13</c:f>
              <c:numCache>
                <c:formatCode>0.0</c:formatCode>
                <c:ptCount val="11"/>
                <c:pt idx="0">
                  <c:v>1634.7684186988054</c:v>
                </c:pt>
                <c:pt idx="1">
                  <c:v>1669.1564873602149</c:v>
                </c:pt>
                <c:pt idx="2">
                  <c:v>1689.4221578510862</c:v>
                </c:pt>
                <c:pt idx="3">
                  <c:v>1694.7956911658559</c:v>
                </c:pt>
                <c:pt idx="4">
                  <c:v>1689.5323674351707</c:v>
                </c:pt>
                <c:pt idx="5">
                  <c:v>1678.7555211418207</c:v>
                </c:pt>
                <c:pt idx="6">
                  <c:v>1665.4796638420021</c:v>
                </c:pt>
                <c:pt idx="7">
                  <c:v>1651.1024375220277</c:v>
                </c:pt>
                <c:pt idx="8">
                  <c:v>1636.4737177468537</c:v>
                </c:pt>
                <c:pt idx="9">
                  <c:v>1621.7494015123191</c:v>
                </c:pt>
                <c:pt idx="10">
                  <c:v>1607.268447446696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838-4D8B-9C6D-455A80946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676767"/>
        <c:axId val="1206677247"/>
      </c:scatterChart>
      <c:valAx>
        <c:axId val="1206676767"/>
        <c:scaling>
          <c:orientation val="minMax"/>
          <c:max val="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OF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77247"/>
        <c:crosses val="autoZero"/>
        <c:crossBetween val="midCat"/>
      </c:valAx>
      <c:valAx>
        <c:axId val="120667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Star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76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39322671568176"/>
          <c:y val="3.1057108843272757E-2"/>
          <c:w val="0.75085459596388338"/>
          <c:h val="0.843801639112838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'Ethanol CC CEA'!$A$35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CEA'!$B$35:$L$35</c:f>
              <c:numCache>
                <c:formatCode>0</c:formatCode>
                <c:ptCount val="11"/>
                <c:pt idx="0">
                  <c:v>2744.4</c:v>
                </c:pt>
                <c:pt idx="1">
                  <c:v>2900.2</c:v>
                </c:pt>
                <c:pt idx="2">
                  <c:v>2993.8</c:v>
                </c:pt>
                <c:pt idx="3">
                  <c:v>3043.9</c:v>
                </c:pt>
                <c:pt idx="4">
                  <c:v>3068.2</c:v>
                </c:pt>
                <c:pt idx="5">
                  <c:v>3077.5</c:v>
                </c:pt>
                <c:pt idx="6">
                  <c:v>3077.7</c:v>
                </c:pt>
                <c:pt idx="7">
                  <c:v>3072.1</c:v>
                </c:pt>
                <c:pt idx="8">
                  <c:v>3062.5</c:v>
                </c:pt>
                <c:pt idx="9">
                  <c:v>3050.2</c:v>
                </c:pt>
                <c:pt idx="10">
                  <c:v>3035.9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58-402F-BEC9-6C0A399F4EC4}"/>
            </c:ext>
          </c:extLst>
        </c:ser>
        <c:ser>
          <c:idx val="1"/>
          <c:order val="1"/>
          <c:tx>
            <c:strRef>
              <c:f>'Ethanol CC CEA'!$A$36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CEA'!$B$36:$L$36</c:f>
              <c:numCache>
                <c:formatCode>0</c:formatCode>
                <c:ptCount val="11"/>
                <c:pt idx="0">
                  <c:v>2766.1</c:v>
                </c:pt>
                <c:pt idx="1">
                  <c:v>2940.2</c:v>
                </c:pt>
                <c:pt idx="2">
                  <c:v>3049.9</c:v>
                </c:pt>
                <c:pt idx="3">
                  <c:v>3109.6</c:v>
                </c:pt>
                <c:pt idx="4">
                  <c:v>3138.6</c:v>
                </c:pt>
                <c:pt idx="5">
                  <c:v>3149.7</c:v>
                </c:pt>
                <c:pt idx="6">
                  <c:v>3150.1</c:v>
                </c:pt>
                <c:pt idx="7">
                  <c:v>3143.7</c:v>
                </c:pt>
                <c:pt idx="8">
                  <c:v>3132.9</c:v>
                </c:pt>
                <c:pt idx="9">
                  <c:v>3119</c:v>
                </c:pt>
                <c:pt idx="10">
                  <c:v>3102.8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58-402F-BEC9-6C0A399F4EC4}"/>
            </c:ext>
          </c:extLst>
        </c:ser>
        <c:ser>
          <c:idx val="2"/>
          <c:order val="2"/>
          <c:tx>
            <c:strRef>
              <c:f>'Ethanol CC CEA'!$A$37</c:f>
              <c:strCache>
                <c:ptCount val="1"/>
                <c:pt idx="0">
                  <c:v>30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CEA'!$B$37:$L$37</c:f>
              <c:numCache>
                <c:formatCode>0</c:formatCode>
                <c:ptCount val="11"/>
                <c:pt idx="0">
                  <c:v>2776.8</c:v>
                </c:pt>
                <c:pt idx="1">
                  <c:v>2961.2</c:v>
                </c:pt>
                <c:pt idx="2">
                  <c:v>3081.1</c:v>
                </c:pt>
                <c:pt idx="3">
                  <c:v>3147.5</c:v>
                </c:pt>
                <c:pt idx="4">
                  <c:v>3179.7</c:v>
                </c:pt>
                <c:pt idx="5">
                  <c:v>3192.1</c:v>
                </c:pt>
                <c:pt idx="6">
                  <c:v>3192.6</c:v>
                </c:pt>
                <c:pt idx="7">
                  <c:v>3185.8</c:v>
                </c:pt>
                <c:pt idx="8">
                  <c:v>3174.1</c:v>
                </c:pt>
                <c:pt idx="9">
                  <c:v>3159.1</c:v>
                </c:pt>
                <c:pt idx="10">
                  <c:v>3141.7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58-402F-BEC9-6C0A399F4EC4}"/>
            </c:ext>
          </c:extLst>
        </c:ser>
        <c:ser>
          <c:idx val="3"/>
          <c:order val="3"/>
          <c:tx>
            <c:strRef>
              <c:f>'Ethanol CC CEA'!$A$38</c:f>
              <c:strCache>
                <c:ptCount val="1"/>
                <c:pt idx="0">
                  <c:v>40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CEA'!$B$38:$L$38</c:f>
              <c:numCache>
                <c:formatCode>0</c:formatCode>
                <c:ptCount val="11"/>
                <c:pt idx="0">
                  <c:v>2783.6</c:v>
                </c:pt>
                <c:pt idx="1">
                  <c:v>2975</c:v>
                </c:pt>
                <c:pt idx="2">
                  <c:v>3102.3</c:v>
                </c:pt>
                <c:pt idx="3">
                  <c:v>3173.9</c:v>
                </c:pt>
                <c:pt idx="4">
                  <c:v>3208.8</c:v>
                </c:pt>
                <c:pt idx="5">
                  <c:v>3222.1</c:v>
                </c:pt>
                <c:pt idx="6">
                  <c:v>3222.8</c:v>
                </c:pt>
                <c:pt idx="7">
                  <c:v>3215.6</c:v>
                </c:pt>
                <c:pt idx="8">
                  <c:v>3203.3</c:v>
                </c:pt>
                <c:pt idx="9">
                  <c:v>3187.4</c:v>
                </c:pt>
                <c:pt idx="10">
                  <c:v>3169.1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58-402F-BEC9-6C0A399F4EC4}"/>
            </c:ext>
          </c:extLst>
        </c:ser>
        <c:ser>
          <c:idx val="4"/>
          <c:order val="4"/>
          <c:tx>
            <c:strRef>
              <c:f>'Ethanol CC CEA'!$A$39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CEA'!$B$39:$L$39</c:f>
              <c:numCache>
                <c:formatCode>0</c:formatCode>
                <c:ptCount val="11"/>
                <c:pt idx="0">
                  <c:v>2788.4</c:v>
                </c:pt>
                <c:pt idx="1">
                  <c:v>2985</c:v>
                </c:pt>
                <c:pt idx="2">
                  <c:v>3118.3</c:v>
                </c:pt>
                <c:pt idx="3">
                  <c:v>3194.2</c:v>
                </c:pt>
                <c:pt idx="4">
                  <c:v>3231.2</c:v>
                </c:pt>
                <c:pt idx="5">
                  <c:v>3245.4</c:v>
                </c:pt>
                <c:pt idx="6">
                  <c:v>3246.2</c:v>
                </c:pt>
                <c:pt idx="7">
                  <c:v>3238.7</c:v>
                </c:pt>
                <c:pt idx="8">
                  <c:v>3225.8</c:v>
                </c:pt>
                <c:pt idx="9">
                  <c:v>3209.3</c:v>
                </c:pt>
                <c:pt idx="10">
                  <c:v>3190.2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858-402F-BEC9-6C0A399F4EC4}"/>
            </c:ext>
          </c:extLst>
        </c:ser>
        <c:ser>
          <c:idx val="5"/>
          <c:order val="5"/>
          <c:tx>
            <c:strRef>
              <c:f>'Ethanol CC CEA'!$A$40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CEA'!$B$40:$L$40</c:f>
              <c:numCache>
                <c:formatCode>0</c:formatCode>
                <c:ptCount val="11"/>
                <c:pt idx="0">
                  <c:v>2792</c:v>
                </c:pt>
                <c:pt idx="1">
                  <c:v>2992.8</c:v>
                </c:pt>
                <c:pt idx="2">
                  <c:v>3131</c:v>
                </c:pt>
                <c:pt idx="3">
                  <c:v>3210.6</c:v>
                </c:pt>
                <c:pt idx="4">
                  <c:v>3249.5</c:v>
                </c:pt>
                <c:pt idx="5">
                  <c:v>3264.4</c:v>
                </c:pt>
                <c:pt idx="6">
                  <c:v>3265.3</c:v>
                </c:pt>
                <c:pt idx="7">
                  <c:v>3257.5</c:v>
                </c:pt>
                <c:pt idx="8">
                  <c:v>3244.2</c:v>
                </c:pt>
                <c:pt idx="9">
                  <c:v>3227.1</c:v>
                </c:pt>
                <c:pt idx="10">
                  <c:v>3207.4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858-402F-BEC9-6C0A399F4EC4}"/>
            </c:ext>
          </c:extLst>
        </c:ser>
        <c:ser>
          <c:idx val="6"/>
          <c:order val="6"/>
          <c:tx>
            <c:strRef>
              <c:f>'Ethanol CC CEA'!$A$41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CEA'!$B$41:$L$41</c:f>
              <c:numCache>
                <c:formatCode>0</c:formatCode>
                <c:ptCount val="11"/>
                <c:pt idx="0">
                  <c:v>2794.9</c:v>
                </c:pt>
                <c:pt idx="1">
                  <c:v>2999</c:v>
                </c:pt>
                <c:pt idx="2">
                  <c:v>3141.5</c:v>
                </c:pt>
                <c:pt idx="3">
                  <c:v>3224.2</c:v>
                </c:pt>
                <c:pt idx="4">
                  <c:v>3264.9</c:v>
                </c:pt>
                <c:pt idx="5">
                  <c:v>3280.5</c:v>
                </c:pt>
                <c:pt idx="6">
                  <c:v>3281.4</c:v>
                </c:pt>
                <c:pt idx="7">
                  <c:v>3273.4</c:v>
                </c:pt>
                <c:pt idx="8">
                  <c:v>3259.7</c:v>
                </c:pt>
                <c:pt idx="9">
                  <c:v>3242.2</c:v>
                </c:pt>
                <c:pt idx="10">
                  <c:v>3221.9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858-402F-BEC9-6C0A399F4EC4}"/>
            </c:ext>
          </c:extLst>
        </c:ser>
        <c:ser>
          <c:idx val="7"/>
          <c:order val="7"/>
          <c:tx>
            <c:strRef>
              <c:f>'Ethanol CC CEA'!$A$42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CEA'!$B$42:$L$42</c:f>
              <c:numCache>
                <c:formatCode>0</c:formatCode>
                <c:ptCount val="11"/>
                <c:pt idx="0">
                  <c:v>2797.2</c:v>
                </c:pt>
                <c:pt idx="1">
                  <c:v>3004.2</c:v>
                </c:pt>
                <c:pt idx="2">
                  <c:v>3150.3</c:v>
                </c:pt>
                <c:pt idx="3">
                  <c:v>3236</c:v>
                </c:pt>
                <c:pt idx="4">
                  <c:v>3278.2</c:v>
                </c:pt>
                <c:pt idx="5">
                  <c:v>3294.4</c:v>
                </c:pt>
                <c:pt idx="6">
                  <c:v>3295.4</c:v>
                </c:pt>
                <c:pt idx="7">
                  <c:v>3287.2</c:v>
                </c:pt>
                <c:pt idx="8">
                  <c:v>3273.1</c:v>
                </c:pt>
                <c:pt idx="9">
                  <c:v>3255.1</c:v>
                </c:pt>
                <c:pt idx="10">
                  <c:v>3234.3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858-402F-BEC9-6C0A399F4EC4}"/>
            </c:ext>
          </c:extLst>
        </c:ser>
        <c:ser>
          <c:idx val="8"/>
          <c:order val="8"/>
          <c:tx>
            <c:strRef>
              <c:f>'Ethanol CC CEA'!$A$43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CEA'!$B$43:$L$43</c:f>
              <c:numCache>
                <c:formatCode>0</c:formatCode>
                <c:ptCount val="11"/>
                <c:pt idx="0">
                  <c:v>2799.2</c:v>
                </c:pt>
                <c:pt idx="1">
                  <c:v>3008.7</c:v>
                </c:pt>
                <c:pt idx="2">
                  <c:v>3157.9</c:v>
                </c:pt>
                <c:pt idx="3">
                  <c:v>3246.2</c:v>
                </c:pt>
                <c:pt idx="4">
                  <c:v>3289.9</c:v>
                </c:pt>
                <c:pt idx="5">
                  <c:v>3306.6</c:v>
                </c:pt>
                <c:pt idx="6">
                  <c:v>3307.7</c:v>
                </c:pt>
                <c:pt idx="7">
                  <c:v>3299.3</c:v>
                </c:pt>
                <c:pt idx="8">
                  <c:v>3284.9</c:v>
                </c:pt>
                <c:pt idx="9">
                  <c:v>3266.5</c:v>
                </c:pt>
                <c:pt idx="10">
                  <c:v>3245.3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858-402F-BEC9-6C0A399F4EC4}"/>
            </c:ext>
          </c:extLst>
        </c:ser>
        <c:ser>
          <c:idx val="9"/>
          <c:order val="9"/>
          <c:tx>
            <c:strRef>
              <c:f>'Ethanol CC CEA'!$A$44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'Ethanol CC CEA'!$B$3:$L$3</c:f>
              <c:numCache>
                <c:formatCode>0.0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xVal>
          <c:yVal>
            <c:numRef>
              <c:f>'Ethanol CC CEA'!$B$44:$L$44</c:f>
              <c:numCache>
                <c:formatCode>0</c:formatCode>
                <c:ptCount val="11"/>
                <c:pt idx="0">
                  <c:v>2800.9</c:v>
                </c:pt>
                <c:pt idx="1">
                  <c:v>3012.5</c:v>
                </c:pt>
                <c:pt idx="2">
                  <c:v>3164.6</c:v>
                </c:pt>
                <c:pt idx="3">
                  <c:v>3255.3</c:v>
                </c:pt>
                <c:pt idx="4">
                  <c:v>3300.2</c:v>
                </c:pt>
                <c:pt idx="5">
                  <c:v>3317.5</c:v>
                </c:pt>
                <c:pt idx="6">
                  <c:v>3318.6</c:v>
                </c:pt>
                <c:pt idx="7">
                  <c:v>3310.1</c:v>
                </c:pt>
                <c:pt idx="8">
                  <c:v>3295.4</c:v>
                </c:pt>
                <c:pt idx="9">
                  <c:v>3276.6</c:v>
                </c:pt>
                <c:pt idx="10">
                  <c:v>3255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858-402F-BEC9-6C0A399F4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676767"/>
        <c:axId val="1206677247"/>
      </c:scatterChart>
      <c:valAx>
        <c:axId val="1206676767"/>
        <c:scaling>
          <c:orientation val="minMax"/>
          <c:max val="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OF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77247"/>
        <c:crosses val="autoZero"/>
        <c:crossBetween val="midCat"/>
      </c:valAx>
      <c:valAx>
        <c:axId val="1206677247"/>
        <c:scaling>
          <c:orientation val="minMax"/>
          <c:min val="2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Star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76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'Turbine Trade Ethanol'!$H$4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'Turbine Trade Ethanol'!$G$5:$G$14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Ethanol'!$H$5:$H$14</c:f>
              <c:numCache>
                <c:formatCode>0.00</c:formatCode>
                <c:ptCount val="10"/>
                <c:pt idx="0">
                  <c:v>411.81689869951492</c:v>
                </c:pt>
                <c:pt idx="1">
                  <c:v>102.95422467487873</c:v>
                </c:pt>
                <c:pt idx="2">
                  <c:v>45.757433188835002</c:v>
                </c:pt>
                <c:pt idx="3">
                  <c:v>25.738556168719683</c:v>
                </c:pt>
                <c:pt idx="4">
                  <c:v>16.472675947980598</c:v>
                </c:pt>
                <c:pt idx="5">
                  <c:v>11.43935829720875</c:v>
                </c:pt>
                <c:pt idx="6">
                  <c:v>8.4044265040717345</c:v>
                </c:pt>
                <c:pt idx="7">
                  <c:v>6.4346390421799207</c:v>
                </c:pt>
                <c:pt idx="8">
                  <c:v>5.0841592432038887</c:v>
                </c:pt>
                <c:pt idx="9">
                  <c:v>4.1181689869951494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B5-4805-8E91-253596FA699A}"/>
            </c:ext>
          </c:extLst>
        </c:ser>
        <c:ser>
          <c:idx val="1"/>
          <c:order val="1"/>
          <c:tx>
            <c:strRef>
              <c:f>'Turbine Trade Ethanol'!$I$4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'Turbine Trade Ethanol'!$G$5:$G$14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Ethanol'!$I$5:$I$14</c:f>
              <c:numCache>
                <c:formatCode>0.00</c:formatCode>
                <c:ptCount val="10"/>
                <c:pt idx="0">
                  <c:v>102.95422467487873</c:v>
                </c:pt>
                <c:pt idx="1">
                  <c:v>25.738556168719683</c:v>
                </c:pt>
                <c:pt idx="2">
                  <c:v>11.43935829720875</c:v>
                </c:pt>
                <c:pt idx="3">
                  <c:v>6.4346390421799207</c:v>
                </c:pt>
                <c:pt idx="4">
                  <c:v>4.1181689869951494</c:v>
                </c:pt>
                <c:pt idx="5">
                  <c:v>2.8598395743021876</c:v>
                </c:pt>
                <c:pt idx="6">
                  <c:v>2.1011066260179336</c:v>
                </c:pt>
                <c:pt idx="7">
                  <c:v>1.6086597605449802</c:v>
                </c:pt>
                <c:pt idx="8">
                  <c:v>1.2710398108009722</c:v>
                </c:pt>
                <c:pt idx="9">
                  <c:v>1.0295422467487874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B5-4805-8E91-253596FA699A}"/>
            </c:ext>
          </c:extLst>
        </c:ser>
        <c:ser>
          <c:idx val="2"/>
          <c:order val="2"/>
          <c:tx>
            <c:strRef>
              <c:f>'Turbine Trade Ethanol'!$J$4</c:f>
              <c:strCache>
                <c:ptCount val="1"/>
                <c:pt idx="0">
                  <c:v>12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'Turbine Trade Ethanol'!$G$5:$G$14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Ethanol'!$J$5:$J$14</c:f>
              <c:numCache>
                <c:formatCode>0.00</c:formatCode>
                <c:ptCount val="10"/>
                <c:pt idx="0">
                  <c:v>45.757433188834995</c:v>
                </c:pt>
                <c:pt idx="1">
                  <c:v>11.439358297208749</c:v>
                </c:pt>
                <c:pt idx="2">
                  <c:v>5.0841592432038896</c:v>
                </c:pt>
                <c:pt idx="3">
                  <c:v>2.8598395743021872</c:v>
                </c:pt>
                <c:pt idx="4">
                  <c:v>1.8302973275533998</c:v>
                </c:pt>
                <c:pt idx="5">
                  <c:v>1.2710398108009724</c:v>
                </c:pt>
                <c:pt idx="6">
                  <c:v>0.93382516711908159</c:v>
                </c:pt>
                <c:pt idx="7">
                  <c:v>0.71495989357554679</c:v>
                </c:pt>
                <c:pt idx="8">
                  <c:v>0.56490658257820991</c:v>
                </c:pt>
                <c:pt idx="9">
                  <c:v>0.45757433188834995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B5-4805-8E91-253596FA699A}"/>
            </c:ext>
          </c:extLst>
        </c:ser>
        <c:ser>
          <c:idx val="3"/>
          <c:order val="3"/>
          <c:tx>
            <c:strRef>
              <c:f>'Turbine Trade Ethanol'!$K$4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'Turbine Trade Ethanol'!$G$5:$G$14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Ethanol'!$K$5:$K$14</c:f>
              <c:numCache>
                <c:formatCode>0.00</c:formatCode>
                <c:ptCount val="10"/>
                <c:pt idx="0">
                  <c:v>25.738556168719683</c:v>
                </c:pt>
                <c:pt idx="1">
                  <c:v>6.4346390421799207</c:v>
                </c:pt>
                <c:pt idx="2">
                  <c:v>2.8598395743021876</c:v>
                </c:pt>
                <c:pt idx="3">
                  <c:v>1.6086597605449802</c:v>
                </c:pt>
                <c:pt idx="4">
                  <c:v>1.0295422467487874</c:v>
                </c:pt>
                <c:pt idx="5">
                  <c:v>0.7149598935755469</c:v>
                </c:pt>
                <c:pt idx="6">
                  <c:v>0.52527665650448341</c:v>
                </c:pt>
                <c:pt idx="7">
                  <c:v>0.40216494013624504</c:v>
                </c:pt>
                <c:pt idx="8">
                  <c:v>0.31775995270024304</c:v>
                </c:pt>
                <c:pt idx="9">
                  <c:v>0.25738556168719684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B5-4805-8E91-253596FA699A}"/>
            </c:ext>
          </c:extLst>
        </c:ser>
        <c:ser>
          <c:idx val="4"/>
          <c:order val="4"/>
          <c:tx>
            <c:strRef>
              <c:f>'Turbine Trade Ethanol'!$L$4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'Turbine Trade Ethanol'!$G$5:$G$14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Ethanol'!$L$5:$L$14</c:f>
              <c:numCache>
                <c:formatCode>0.00</c:formatCode>
                <c:ptCount val="10"/>
                <c:pt idx="0">
                  <c:v>16.472675947980594</c:v>
                </c:pt>
                <c:pt idx="1">
                  <c:v>4.1181689869951486</c:v>
                </c:pt>
                <c:pt idx="2">
                  <c:v>1.8302973275533998</c:v>
                </c:pt>
                <c:pt idx="3">
                  <c:v>1.0295422467487871</c:v>
                </c:pt>
                <c:pt idx="4">
                  <c:v>0.65890703791922378</c:v>
                </c:pt>
                <c:pt idx="5">
                  <c:v>0.45757433188834995</c:v>
                </c:pt>
                <c:pt idx="6">
                  <c:v>0.3361770601628693</c:v>
                </c:pt>
                <c:pt idx="7">
                  <c:v>0.25738556168719678</c:v>
                </c:pt>
                <c:pt idx="8">
                  <c:v>0.20336636972815553</c:v>
                </c:pt>
                <c:pt idx="9">
                  <c:v>0.16472675947980595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B5-4805-8E91-253596FA699A}"/>
            </c:ext>
          </c:extLst>
        </c:ser>
        <c:ser>
          <c:idx val="5"/>
          <c:order val="5"/>
          <c:tx>
            <c:strRef>
              <c:f>'Turbine Trade Ethanol'!$M$4</c:f>
              <c:strCache>
                <c:ptCount val="1"/>
                <c:pt idx="0">
                  <c:v>24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'Turbine Trade Ethanol'!$G$5:$G$14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Ethanol'!$M$5:$M$14</c:f>
              <c:numCache>
                <c:formatCode>0.00</c:formatCode>
                <c:ptCount val="10"/>
                <c:pt idx="0">
                  <c:v>11.439358297208749</c:v>
                </c:pt>
                <c:pt idx="1">
                  <c:v>2.8598395743021872</c:v>
                </c:pt>
                <c:pt idx="2">
                  <c:v>1.2710398108009724</c:v>
                </c:pt>
                <c:pt idx="3">
                  <c:v>0.71495989357554679</c:v>
                </c:pt>
                <c:pt idx="4">
                  <c:v>0.45757433188834995</c:v>
                </c:pt>
                <c:pt idx="5">
                  <c:v>0.3177599527002431</c:v>
                </c:pt>
                <c:pt idx="6">
                  <c:v>0.2334562917797704</c:v>
                </c:pt>
                <c:pt idx="7">
                  <c:v>0.1787399733938867</c:v>
                </c:pt>
                <c:pt idx="8">
                  <c:v>0.14122664564455248</c:v>
                </c:pt>
                <c:pt idx="9">
                  <c:v>0.11439358297208749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B5-4805-8E91-253596FA699A}"/>
            </c:ext>
          </c:extLst>
        </c:ser>
        <c:ser>
          <c:idx val="6"/>
          <c:order val="6"/>
          <c:tx>
            <c:strRef>
              <c:f>'Turbine Trade Ethanol'!$N$4</c:f>
              <c:strCache>
                <c:ptCount val="1"/>
                <c:pt idx="0">
                  <c:v>28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'Turbine Trade Ethanol'!$G$5:$G$14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Ethanol'!$N$5:$N$14</c:f>
              <c:numCache>
                <c:formatCode>0.00</c:formatCode>
                <c:ptCount val="10"/>
                <c:pt idx="0">
                  <c:v>8.404426504071731</c:v>
                </c:pt>
                <c:pt idx="1">
                  <c:v>2.1011066260179327</c:v>
                </c:pt>
                <c:pt idx="2">
                  <c:v>0.93382516711908137</c:v>
                </c:pt>
                <c:pt idx="3">
                  <c:v>0.52527665650448319</c:v>
                </c:pt>
                <c:pt idx="4">
                  <c:v>0.33617706016286925</c:v>
                </c:pt>
                <c:pt idx="5">
                  <c:v>0.23345629177977034</c:v>
                </c:pt>
                <c:pt idx="6">
                  <c:v>0.17151890824636187</c:v>
                </c:pt>
                <c:pt idx="7">
                  <c:v>0.1313191641261208</c:v>
                </c:pt>
                <c:pt idx="8">
                  <c:v>0.10375835190212016</c:v>
                </c:pt>
                <c:pt idx="9">
                  <c:v>8.4044265040717311E-2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B5-4805-8E91-253596FA699A}"/>
            </c:ext>
          </c:extLst>
        </c:ser>
        <c:ser>
          <c:idx val="7"/>
          <c:order val="7"/>
          <c:tx>
            <c:strRef>
              <c:f>'Turbine Trade Ethanol'!$O$4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'Turbine Trade Ethanol'!$G$5:$G$14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Ethanol'!$O$5:$O$14</c:f>
              <c:numCache>
                <c:formatCode>0.00</c:formatCode>
                <c:ptCount val="10"/>
                <c:pt idx="0">
                  <c:v>6.4346390421799207</c:v>
                </c:pt>
                <c:pt idx="1">
                  <c:v>1.6086597605449802</c:v>
                </c:pt>
                <c:pt idx="2">
                  <c:v>0.7149598935755469</c:v>
                </c:pt>
                <c:pt idx="3">
                  <c:v>0.40216494013624504</c:v>
                </c:pt>
                <c:pt idx="4">
                  <c:v>0.25738556168719684</c:v>
                </c:pt>
                <c:pt idx="5">
                  <c:v>0.17873997339388673</c:v>
                </c:pt>
                <c:pt idx="6">
                  <c:v>0.13131916412612085</c:v>
                </c:pt>
                <c:pt idx="7">
                  <c:v>0.10054123503406126</c:v>
                </c:pt>
                <c:pt idx="8">
                  <c:v>7.9439988175060761E-2</c:v>
                </c:pt>
                <c:pt idx="9">
                  <c:v>6.434639042179921E-2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AB5-4805-8E91-253596FA699A}"/>
            </c:ext>
          </c:extLst>
        </c:ser>
        <c:ser>
          <c:idx val="8"/>
          <c:order val="8"/>
          <c:tx>
            <c:strRef>
              <c:f>'Turbine Trade Ethanol'!$Q$4</c:f>
              <c:strCache>
                <c:ptCount val="1"/>
                <c:pt idx="0">
                  <c:v>10% CC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'Turbine Trade Ethanol'!$G$5:$G$14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Ethanol'!$Q$5:$Q$14</c:f>
              <c:numCache>
                <c:formatCode>0.00</c:formatCode>
                <c:ptCount val="10"/>
                <c:pt idx="0">
                  <c:v>2.2222222222222223</c:v>
                </c:pt>
                <c:pt idx="1">
                  <c:v>2.2222222222222223</c:v>
                </c:pt>
                <c:pt idx="2">
                  <c:v>2.2222222222222223</c:v>
                </c:pt>
                <c:pt idx="3">
                  <c:v>2.2222222222222223</c:v>
                </c:pt>
                <c:pt idx="4">
                  <c:v>2.2222222222222223</c:v>
                </c:pt>
                <c:pt idx="5">
                  <c:v>2.2222222222222223</c:v>
                </c:pt>
                <c:pt idx="6">
                  <c:v>2.2222222222222223</c:v>
                </c:pt>
                <c:pt idx="7">
                  <c:v>2.2222222222222223</c:v>
                </c:pt>
                <c:pt idx="8">
                  <c:v>2.2222222222222223</c:v>
                </c:pt>
                <c:pt idx="9">
                  <c:v>2.2222222222222223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AB5-4805-8E91-253596FA699A}"/>
            </c:ext>
          </c:extLst>
        </c:ser>
        <c:ser>
          <c:idx val="9"/>
          <c:order val="9"/>
          <c:tx>
            <c:strRef>
              <c:f>'Turbine Trade Ethanol'!$R$4</c:f>
              <c:strCache>
                <c:ptCount val="1"/>
                <c:pt idx="0">
                  <c:v>1% CC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'Turbine Trade Ethanol'!$G$5:$G$14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Ethanol'!$R$5:$R$14</c:f>
              <c:numCache>
                <c:formatCode>0.00</c:formatCode>
                <c:ptCount val="10"/>
                <c:pt idx="0">
                  <c:v>0.22222222222222221</c:v>
                </c:pt>
                <c:pt idx="1">
                  <c:v>0.22222222222222221</c:v>
                </c:pt>
                <c:pt idx="2">
                  <c:v>0.22222222222222221</c:v>
                </c:pt>
                <c:pt idx="3">
                  <c:v>0.22222222222222221</c:v>
                </c:pt>
                <c:pt idx="4">
                  <c:v>0.22222222222222221</c:v>
                </c:pt>
                <c:pt idx="5">
                  <c:v>0.22222222222222221</c:v>
                </c:pt>
                <c:pt idx="6">
                  <c:v>0.22222222222222221</c:v>
                </c:pt>
                <c:pt idx="7">
                  <c:v>0.22222222222222221</c:v>
                </c:pt>
                <c:pt idx="8">
                  <c:v>0.22222222222222221</c:v>
                </c:pt>
                <c:pt idx="9">
                  <c:v>0.22222222222222221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AB5-4805-8E91-253596FA6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152495"/>
        <c:axId val="1436150095"/>
      </c:scatterChart>
      <c:valAx>
        <c:axId val="1436152495"/>
        <c:scaling>
          <c:orientation val="minMax"/>
          <c:max val="5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Rotor Speed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0095"/>
        <c:crosses val="autoZero"/>
        <c:crossBetween val="midCat"/>
      </c:valAx>
      <c:valAx>
        <c:axId val="1436150095"/>
        <c:scaling>
          <c:logBase val="10"/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Flow (kg/s)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'Turbine Trade Ethanol'!$U$4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'Turbine Trade Ethanol'!$T$5:$T$14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Ethanol'!$U$5:$U$14</c:f>
              <c:numCache>
                <c:formatCode>0.00</c:formatCode>
                <c:ptCount val="10"/>
                <c:pt idx="0">
                  <c:v>1.4828491989696002</c:v>
                </c:pt>
                <c:pt idx="1">
                  <c:v>5.9313967958784009</c:v>
                </c:pt>
                <c:pt idx="2">
                  <c:v>13.3456427907264</c:v>
                </c:pt>
                <c:pt idx="3">
                  <c:v>23.725587183513603</c:v>
                </c:pt>
                <c:pt idx="4">
                  <c:v>37.071229974239998</c:v>
                </c:pt>
                <c:pt idx="5">
                  <c:v>53.382571162905599</c:v>
                </c:pt>
                <c:pt idx="6">
                  <c:v>72.659610749510392</c:v>
                </c:pt>
                <c:pt idx="7">
                  <c:v>94.902348734054414</c:v>
                </c:pt>
                <c:pt idx="8">
                  <c:v>120.1107851165376</c:v>
                </c:pt>
                <c:pt idx="9">
                  <c:v>148.28491989695999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80-4D10-8EF7-58DB8F0BD07E}"/>
            </c:ext>
          </c:extLst>
        </c:ser>
        <c:ser>
          <c:idx val="1"/>
          <c:order val="1"/>
          <c:tx>
            <c:strRef>
              <c:f>'Turbine Trade Ethanol'!$V$4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'Turbine Trade Ethanol'!$T$5:$T$14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Ethanol'!$V$5:$V$14</c:f>
              <c:numCache>
                <c:formatCode>0.00</c:formatCode>
                <c:ptCount val="10"/>
                <c:pt idx="0">
                  <c:v>5.9313967958784009</c:v>
                </c:pt>
                <c:pt idx="1">
                  <c:v>23.725587183513603</c:v>
                </c:pt>
                <c:pt idx="2">
                  <c:v>53.382571162905599</c:v>
                </c:pt>
                <c:pt idx="3">
                  <c:v>94.902348734054414</c:v>
                </c:pt>
                <c:pt idx="4">
                  <c:v>148.28491989695999</c:v>
                </c:pt>
                <c:pt idx="5">
                  <c:v>213.5302846516224</c:v>
                </c:pt>
                <c:pt idx="6">
                  <c:v>290.63844299804157</c:v>
                </c:pt>
                <c:pt idx="7">
                  <c:v>379.60939493621765</c:v>
                </c:pt>
                <c:pt idx="8">
                  <c:v>480.4431404661504</c:v>
                </c:pt>
                <c:pt idx="9">
                  <c:v>593.13967958783996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80-4D10-8EF7-58DB8F0BD07E}"/>
            </c:ext>
          </c:extLst>
        </c:ser>
        <c:ser>
          <c:idx val="2"/>
          <c:order val="2"/>
          <c:tx>
            <c:strRef>
              <c:f>'Turbine Trade Ethanol'!$W$4</c:f>
              <c:strCache>
                <c:ptCount val="1"/>
                <c:pt idx="0">
                  <c:v>12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'Turbine Trade Ethanol'!$T$5:$T$14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Ethanol'!$W$5:$W$14</c:f>
              <c:numCache>
                <c:formatCode>0.00</c:formatCode>
                <c:ptCount val="10"/>
                <c:pt idx="0">
                  <c:v>13.345642790726401</c:v>
                </c:pt>
                <c:pt idx="1">
                  <c:v>53.382571162905606</c:v>
                </c:pt>
                <c:pt idx="2">
                  <c:v>120.11078511653757</c:v>
                </c:pt>
                <c:pt idx="3">
                  <c:v>213.53028465162242</c:v>
                </c:pt>
                <c:pt idx="4">
                  <c:v>333.64106976815998</c:v>
                </c:pt>
                <c:pt idx="5">
                  <c:v>480.44314046615028</c:v>
                </c:pt>
                <c:pt idx="6">
                  <c:v>653.93649674559344</c:v>
                </c:pt>
                <c:pt idx="7">
                  <c:v>854.12113860648969</c:v>
                </c:pt>
                <c:pt idx="8">
                  <c:v>1080.9970660488384</c:v>
                </c:pt>
                <c:pt idx="9">
                  <c:v>1334.5642790726399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80-4D10-8EF7-58DB8F0BD07E}"/>
            </c:ext>
          </c:extLst>
        </c:ser>
        <c:ser>
          <c:idx val="3"/>
          <c:order val="3"/>
          <c:tx>
            <c:strRef>
              <c:f>'Turbine Trade Ethanol'!$X$4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'Turbine Trade Ethanol'!$T$5:$T$14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Ethanol'!$X$5:$X$14</c:f>
              <c:numCache>
                <c:formatCode>0.00</c:formatCode>
                <c:ptCount val="10"/>
                <c:pt idx="0">
                  <c:v>23.725587183513603</c:v>
                </c:pt>
                <c:pt idx="1">
                  <c:v>94.902348734054414</c:v>
                </c:pt>
                <c:pt idx="2">
                  <c:v>213.5302846516224</c:v>
                </c:pt>
                <c:pt idx="3">
                  <c:v>379.60939493621765</c:v>
                </c:pt>
                <c:pt idx="4">
                  <c:v>593.13967958783996</c:v>
                </c:pt>
                <c:pt idx="5">
                  <c:v>854.12113860648958</c:v>
                </c:pt>
                <c:pt idx="6">
                  <c:v>1162.5537719921663</c:v>
                </c:pt>
                <c:pt idx="7">
                  <c:v>1518.4375797448706</c:v>
                </c:pt>
                <c:pt idx="8">
                  <c:v>1921.7725618646016</c:v>
                </c:pt>
                <c:pt idx="9">
                  <c:v>2372.5587183513599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80-4D10-8EF7-58DB8F0BD07E}"/>
            </c:ext>
          </c:extLst>
        </c:ser>
        <c:ser>
          <c:idx val="4"/>
          <c:order val="4"/>
          <c:tx>
            <c:strRef>
              <c:f>'Turbine Trade Ethanol'!$Y$4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'Turbine Trade Ethanol'!$G$5:$G$14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Ethanol'!$Y$5:$Y$14</c:f>
              <c:numCache>
                <c:formatCode>0.00</c:formatCode>
                <c:ptCount val="10"/>
                <c:pt idx="0">
                  <c:v>37.071229974240012</c:v>
                </c:pt>
                <c:pt idx="1">
                  <c:v>148.28491989696005</c:v>
                </c:pt>
                <c:pt idx="2">
                  <c:v>333.64106976815998</c:v>
                </c:pt>
                <c:pt idx="3">
                  <c:v>593.13967958784019</c:v>
                </c:pt>
                <c:pt idx="4">
                  <c:v>926.78074935600011</c:v>
                </c:pt>
                <c:pt idx="5">
                  <c:v>1334.5642790726399</c:v>
                </c:pt>
                <c:pt idx="6">
                  <c:v>1816.4902687377601</c:v>
                </c:pt>
                <c:pt idx="7">
                  <c:v>2372.5587183513608</c:v>
                </c:pt>
                <c:pt idx="8">
                  <c:v>3002.7696279134407</c:v>
                </c:pt>
                <c:pt idx="9">
                  <c:v>3707.1229974240005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D80-4D10-8EF7-58DB8F0BD07E}"/>
            </c:ext>
          </c:extLst>
        </c:ser>
        <c:ser>
          <c:idx val="5"/>
          <c:order val="5"/>
          <c:tx>
            <c:strRef>
              <c:f>'Turbine Trade Ethanol'!$Z$4</c:f>
              <c:strCache>
                <c:ptCount val="1"/>
                <c:pt idx="0">
                  <c:v>24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'Turbine Trade Ethanol'!$T$5:$T$14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Ethanol'!$Z$5:$Z$14</c:f>
              <c:numCache>
                <c:formatCode>0.00</c:formatCode>
                <c:ptCount val="10"/>
                <c:pt idx="0">
                  <c:v>53.382571162905606</c:v>
                </c:pt>
                <c:pt idx="1">
                  <c:v>213.53028465162242</c:v>
                </c:pt>
                <c:pt idx="2">
                  <c:v>480.44314046615028</c:v>
                </c:pt>
                <c:pt idx="3">
                  <c:v>854.12113860648969</c:v>
                </c:pt>
                <c:pt idx="4">
                  <c:v>1334.5642790726399</c:v>
                </c:pt>
                <c:pt idx="5">
                  <c:v>1921.7725618646011</c:v>
                </c:pt>
                <c:pt idx="6">
                  <c:v>2615.7459869823738</c:v>
                </c:pt>
                <c:pt idx="7">
                  <c:v>3416.4845544259588</c:v>
                </c:pt>
                <c:pt idx="8">
                  <c:v>4323.9882641953536</c:v>
                </c:pt>
                <c:pt idx="9">
                  <c:v>5338.2571162905597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D80-4D10-8EF7-58DB8F0BD07E}"/>
            </c:ext>
          </c:extLst>
        </c:ser>
        <c:ser>
          <c:idx val="6"/>
          <c:order val="6"/>
          <c:tx>
            <c:strRef>
              <c:f>'Turbine Trade Ethanol'!$AA$4</c:f>
              <c:strCache>
                <c:ptCount val="1"/>
                <c:pt idx="0">
                  <c:v>28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'Turbine Trade Ethanol'!$T$5:$T$14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Ethanol'!$AA$5:$AA$14</c:f>
              <c:numCache>
                <c:formatCode>0.00</c:formatCode>
                <c:ptCount val="10"/>
                <c:pt idx="0">
                  <c:v>72.659610749510421</c:v>
                </c:pt>
                <c:pt idx="1">
                  <c:v>290.63844299804168</c:v>
                </c:pt>
                <c:pt idx="2">
                  <c:v>653.93649674559356</c:v>
                </c:pt>
                <c:pt idx="3">
                  <c:v>1162.5537719921667</c:v>
                </c:pt>
                <c:pt idx="4">
                  <c:v>1816.4902687377601</c:v>
                </c:pt>
                <c:pt idx="5">
                  <c:v>2615.7459869823742</c:v>
                </c:pt>
                <c:pt idx="6">
                  <c:v>3560.3209267260095</c:v>
                </c:pt>
                <c:pt idx="7">
                  <c:v>4650.2150879686669</c:v>
                </c:pt>
                <c:pt idx="8">
                  <c:v>5885.4284707103434</c:v>
                </c:pt>
                <c:pt idx="9">
                  <c:v>7265.9610749510402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D80-4D10-8EF7-58DB8F0BD07E}"/>
            </c:ext>
          </c:extLst>
        </c:ser>
        <c:ser>
          <c:idx val="7"/>
          <c:order val="7"/>
          <c:tx>
            <c:strRef>
              <c:f>'Turbine Trade Ethanol'!$AB$4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'Turbine Trade Ethanol'!$T$5:$T$14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Ethanol'!$AB$5:$AB$14</c:f>
              <c:numCache>
                <c:formatCode>0.00</c:formatCode>
                <c:ptCount val="10"/>
                <c:pt idx="0">
                  <c:v>94.902348734054414</c:v>
                </c:pt>
                <c:pt idx="1">
                  <c:v>379.60939493621765</c:v>
                </c:pt>
                <c:pt idx="2">
                  <c:v>854.12113860648958</c:v>
                </c:pt>
                <c:pt idx="3">
                  <c:v>1518.4375797448706</c:v>
                </c:pt>
                <c:pt idx="4">
                  <c:v>2372.5587183513599</c:v>
                </c:pt>
                <c:pt idx="5">
                  <c:v>3416.4845544259583</c:v>
                </c:pt>
                <c:pt idx="6">
                  <c:v>4650.2150879686651</c:v>
                </c:pt>
                <c:pt idx="7">
                  <c:v>6073.7503189794825</c:v>
                </c:pt>
                <c:pt idx="8">
                  <c:v>7687.0902474584063</c:v>
                </c:pt>
                <c:pt idx="9">
                  <c:v>9490.2348734054394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D80-4D10-8EF7-58DB8F0BD07E}"/>
            </c:ext>
          </c:extLst>
        </c:ser>
        <c:ser>
          <c:idx val="8"/>
          <c:order val="8"/>
          <c:tx>
            <c:strRef>
              <c:f>'Turbine Trade Ethanol'!$AD$4</c:f>
              <c:strCache>
                <c:ptCount val="1"/>
                <c:pt idx="0">
                  <c:v>Inco 718 @ 950K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'Turbine Trade Ethanol'!$T$5:$T$14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'Turbine Trade Ethanol'!$AD$5:$AD$14</c:f>
              <c:numCache>
                <c:formatCode>0.00</c:formatCode>
                <c:ptCount val="10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D80-4D10-8EF7-58DB8F0BD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152495"/>
        <c:axId val="1436150095"/>
      </c:scatterChart>
      <c:valAx>
        <c:axId val="1436152495"/>
        <c:scaling>
          <c:orientation val="minMax"/>
          <c:max val="5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Rotor Speed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0095"/>
        <c:crosses val="autoZero"/>
        <c:crossBetween val="midCat"/>
      </c:valAx>
      <c:valAx>
        <c:axId val="1436150095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Central Elastic 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3.png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image" Target="../media/image4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image" Target="../media/image3.png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gif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117</xdr:row>
      <xdr:rowOff>22860</xdr:rowOff>
    </xdr:from>
    <xdr:to>
      <xdr:col>7</xdr:col>
      <xdr:colOff>518514</xdr:colOff>
      <xdr:row>121</xdr:row>
      <xdr:rowOff>61027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CDAC0E-04B2-4370-96EA-B9CE722A8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15979140"/>
          <a:ext cx="4084674" cy="769687"/>
        </a:xfrm>
        <a:prstGeom prst="rect">
          <a:avLst/>
        </a:prstGeom>
        <a:ln w="25400">
          <a:solidFill>
            <a:schemeClr val="accent1"/>
          </a:solidFill>
        </a:ln>
      </xdr:spPr>
    </xdr:pic>
    <xdr:clientData/>
  </xdr:twoCellAnchor>
  <xdr:twoCellAnchor editAs="oneCell">
    <xdr:from>
      <xdr:col>9</xdr:col>
      <xdr:colOff>194734</xdr:colOff>
      <xdr:row>104</xdr:row>
      <xdr:rowOff>33867</xdr:rowOff>
    </xdr:from>
    <xdr:to>
      <xdr:col>18</xdr:col>
      <xdr:colOff>507643</xdr:colOff>
      <xdr:row>126</xdr:row>
      <xdr:rowOff>74019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E69CDD-F86D-E72D-92DD-6BAB4E3B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8734" y="13851467"/>
          <a:ext cx="5646909" cy="4138019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>
    <xdr:from>
      <xdr:col>0</xdr:col>
      <xdr:colOff>313266</xdr:colOff>
      <xdr:row>45</xdr:row>
      <xdr:rowOff>21167</xdr:rowOff>
    </xdr:from>
    <xdr:to>
      <xdr:col>11</xdr:col>
      <xdr:colOff>118533</xdr:colOff>
      <xdr:row>63</xdr:row>
      <xdr:rowOff>63501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F08B4B-A22F-16D2-7437-AF6D421D8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280457</xdr:colOff>
      <xdr:row>13</xdr:row>
      <xdr:rowOff>122767</xdr:rowOff>
    </xdr:from>
    <xdr:to>
      <xdr:col>11</xdr:col>
      <xdr:colOff>85725</xdr:colOff>
      <xdr:row>30</xdr:row>
      <xdr:rowOff>80434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810391C-F7AC-D35B-DDBD-2A9D57527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227541</xdr:colOff>
      <xdr:row>77</xdr:row>
      <xdr:rowOff>114299</xdr:rowOff>
    </xdr:from>
    <xdr:to>
      <xdr:col>15</xdr:col>
      <xdr:colOff>247650</xdr:colOff>
      <xdr:row>97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E87642-A3C5-48E2-AE8B-8C8722108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1005840</xdr:colOff>
      <xdr:row>14</xdr:row>
      <xdr:rowOff>152400</xdr:rowOff>
    </xdr:from>
    <xdr:to>
      <xdr:col>16</xdr:col>
      <xdr:colOff>594360</xdr:colOff>
      <xdr:row>36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D3A2B-F1AE-414F-A217-B4CA26D56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28</xdr:col>
      <xdr:colOff>357030</xdr:colOff>
      <xdr:row>6</xdr:row>
      <xdr:rowOff>45720</xdr:rowOff>
    </xdr:from>
    <xdr:to>
      <xdr:col>33</xdr:col>
      <xdr:colOff>110354</xdr:colOff>
      <xdr:row>10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6039B8-9E29-4EF2-B625-BB05CE5FB0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8047" t="34748" r="34267" b="18675"/>
        <a:stretch/>
      </xdr:blipFill>
      <xdr:spPr>
        <a:xfrm>
          <a:off x="18934590" y="1188720"/>
          <a:ext cx="2801324" cy="83058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15</xdr:row>
      <xdr:rowOff>0</xdr:rowOff>
    </xdr:from>
    <xdr:to>
      <xdr:col>29</xdr:col>
      <xdr:colOff>601980</xdr:colOff>
      <xdr:row>36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DC9DC9-A086-49BB-BC23-CCE3EDF8B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975360</xdr:colOff>
      <xdr:row>74</xdr:row>
      <xdr:rowOff>152400</xdr:rowOff>
    </xdr:from>
    <xdr:to>
      <xdr:col>16</xdr:col>
      <xdr:colOff>541427</xdr:colOff>
      <xdr:row>97</xdr:row>
      <xdr:rowOff>99420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D260A7-7F0B-EEDB-E6C1-ABDEB8BEC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2060" y="1432560"/>
          <a:ext cx="4701947" cy="4153260"/>
        </a:xfrm>
        <a:prstGeom prst="rect">
          <a:avLst/>
        </a:prstGeom>
        <a:ln w="25400"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609600</xdr:colOff>
      <xdr:row>86</xdr:row>
      <xdr:rowOff>22860</xdr:rowOff>
    </xdr:from>
    <xdr:to>
      <xdr:col>7</xdr:col>
      <xdr:colOff>518514</xdr:colOff>
      <xdr:row>90</xdr:row>
      <xdr:rowOff>61027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7ABB37-13F8-86FC-7F19-541A71EC5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497580"/>
          <a:ext cx="4084674" cy="769687"/>
        </a:xfrm>
        <a:prstGeom prst="rect">
          <a:avLst/>
        </a:prstGeom>
        <a:ln w="25400">
          <a:solidFill>
            <a:schemeClr val="accent1"/>
          </a:solidFill>
        </a:ln>
      </xdr:spPr>
    </xdr:pic>
    <xdr:clientData/>
  </xdr:twoCellAnchor>
  <xdr:twoCellAnchor>
    <xdr:from>
      <xdr:col>0</xdr:col>
      <xdr:colOff>91440</xdr:colOff>
      <xdr:row>13</xdr:row>
      <xdr:rowOff>60960</xdr:rowOff>
    </xdr:from>
    <xdr:to>
      <xdr:col>8</xdr:col>
      <xdr:colOff>0</xdr:colOff>
      <xdr:row>30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BBF523-3DDB-966E-3D29-E6DAD334D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152400</xdr:colOff>
      <xdr:row>13</xdr:row>
      <xdr:rowOff>53340</xdr:rowOff>
    </xdr:from>
    <xdr:to>
      <xdr:col>16</xdr:col>
      <xdr:colOff>289560</xdr:colOff>
      <xdr:row>30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5D02EB-DE56-4F10-AA3F-7C767693F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75353</xdr:colOff>
      <xdr:row>44</xdr:row>
      <xdr:rowOff>169333</xdr:rowOff>
    </xdr:from>
    <xdr:to>
      <xdr:col>16</xdr:col>
      <xdr:colOff>416559</xdr:colOff>
      <xdr:row>65</xdr:row>
      <xdr:rowOff>59267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25796B-AFF1-4990-ACD4-85E2F836F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1005840</xdr:colOff>
      <xdr:row>14</xdr:row>
      <xdr:rowOff>152400</xdr:rowOff>
    </xdr:from>
    <xdr:to>
      <xdr:col>16</xdr:col>
      <xdr:colOff>594360</xdr:colOff>
      <xdr:row>36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164C2D-3F5D-5380-E533-AFAC0DCC4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28</xdr:col>
      <xdr:colOff>357030</xdr:colOff>
      <xdr:row>6</xdr:row>
      <xdr:rowOff>45720</xdr:rowOff>
    </xdr:from>
    <xdr:to>
      <xdr:col>33</xdr:col>
      <xdr:colOff>110354</xdr:colOff>
      <xdr:row>10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F560E9-AD49-42F7-1AB8-35079B6ABC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8047" t="34748" r="34267" b="18675"/>
        <a:stretch/>
      </xdr:blipFill>
      <xdr:spPr>
        <a:xfrm>
          <a:off x="18934590" y="1188720"/>
          <a:ext cx="2801324" cy="83058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15</xdr:row>
      <xdr:rowOff>0</xdr:rowOff>
    </xdr:from>
    <xdr:to>
      <xdr:col>29</xdr:col>
      <xdr:colOff>601980</xdr:colOff>
      <xdr:row>36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00EFE2-6DBE-4567-A6A0-AE4286975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236220</xdr:colOff>
      <xdr:row>0</xdr:row>
      <xdr:rowOff>169284</xdr:rowOff>
    </xdr:from>
    <xdr:to>
      <xdr:col>12</xdr:col>
      <xdr:colOff>31362</xdr:colOff>
      <xdr:row>19</xdr:row>
      <xdr:rowOff>168068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E828A-7815-2A34-F77F-9FFFADAE7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4020" y="169284"/>
          <a:ext cx="7156062" cy="34735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161925</xdr:colOff>
      <xdr:row>0</xdr:row>
      <xdr:rowOff>141737</xdr:rowOff>
    </xdr:from>
    <xdr:to>
      <xdr:col>21</xdr:col>
      <xdr:colOff>104775</xdr:colOff>
      <xdr:row>14</xdr:row>
      <xdr:rowOff>142875</xdr:rowOff>
    </xdr:to>
    <xdr:pic>
      <xdr:nvPicPr>
        <xdr:cNvPr id="2" name="Picture 1" descr="Cavitation Guide for Control Valves • Trimteck® Optimux®">
          <a:extLst>
            <a:ext uri="{FF2B5EF4-FFF2-40B4-BE49-F238E27FC236}">
              <a16:creationId xmlns:a16="http://schemas.microsoft.com/office/drawing/2014/main" id="{99976783-95CB-E985-BA61-AF248980A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141737"/>
          <a:ext cx="8477250" cy="2668138"/>
        </a:xfrm>
        <a:prstGeom prst="rect">
          <a:avLst/>
        </a:prstGeom>
        <a:noFill/>
        <a:ln w="381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15</xdr:row>
      <xdr:rowOff>114300</xdr:rowOff>
    </xdr:from>
    <xdr:to>
      <xdr:col>15</xdr:col>
      <xdr:colOff>285750</xdr:colOff>
      <xdr:row>35</xdr:row>
      <xdr:rowOff>171450</xdr:rowOff>
    </xdr:to>
    <xdr:pic>
      <xdr:nvPicPr>
        <xdr:cNvPr id="3" name="Picture 2" descr="Technical drawing of 37 Degree Flared Fitting for Aluminum Tubing, Adapter for 3/4&quot; Tube OD x 3/4 NPT Male.">
          <a:extLst>
            <a:ext uri="{FF2B5EF4-FFF2-40B4-BE49-F238E27FC236}">
              <a16:creationId xmlns:a16="http://schemas.microsoft.com/office/drawing/2014/main" id="{19EE32F5-51A6-47C9-F365-D911E0CEA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2971800"/>
          <a:ext cx="5000625" cy="3867150"/>
        </a:xfrm>
        <a:prstGeom prst="rect">
          <a:avLst/>
        </a:prstGeom>
        <a:noFill/>
        <a:ln w="381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growinglabs.com/products/ethyl-alcohol-denatured-75?srsltid=AfmBOopQlbQI9dPscFk8ObMNeNqd-MW7e0rUaEhBvPu6HMHIMAeM9tq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4DDC-08F0-416E-994C-AAE95DF21416}">
  <sheetPr codeName="Sheet1"/>
  <dimension ref="A1:U300"/>
  <sheetViews>
    <sheetView showGridLines="0" tabSelected="1" topLeftCell="A24" zoomScaleNormal="100" workbookViewId="0">
      <selection activeCell="A5" sqref="A5"/>
    </sheetView>
  </sheetViews>
  <sheetFormatPr defaultColWidth="8.6640625" defaultRowHeight="14.4" x14ac:dyDescent="0.3"/>
  <cols>
    <col min="1" max="1" width="8.6640625" style="5"/>
    <col min="2" max="2" width="8.6640625" style="3"/>
    <col min="3" max="3" width="8.6640625" style="2"/>
    <col min="4" max="4" width="8.6640625" style="5"/>
    <col min="5" max="8" width="8.6640625" style="2"/>
    <col min="9" max="9" width="8.6640625" style="6"/>
    <col min="10" max="16384" width="8.6640625" style="2"/>
  </cols>
  <sheetData>
    <row r="1" spans="1:21" ht="23.4" x14ac:dyDescent="0.45">
      <c r="A1" s="39" t="s">
        <v>41</v>
      </c>
      <c r="I1" s="2"/>
    </row>
    <row r="2" spans="1:21" x14ac:dyDescent="0.3">
      <c r="A2" s="16" t="s">
        <v>26</v>
      </c>
      <c r="B2" s="56" t="s">
        <v>34</v>
      </c>
      <c r="I2" s="2"/>
    </row>
    <row r="3" spans="1:21" s="3" customFormat="1" x14ac:dyDescent="0.3">
      <c r="A3" s="16"/>
      <c r="B3" s="57">
        <v>0.2</v>
      </c>
      <c r="C3" s="58">
        <v>0.4</v>
      </c>
      <c r="D3" s="58">
        <v>0.6</v>
      </c>
      <c r="E3" s="58">
        <v>0.8</v>
      </c>
      <c r="F3" s="58">
        <v>1</v>
      </c>
      <c r="G3" s="58">
        <v>1.2</v>
      </c>
      <c r="H3" s="58">
        <v>1.4</v>
      </c>
      <c r="I3" s="58">
        <v>1.6</v>
      </c>
      <c r="J3" s="58">
        <v>1.8</v>
      </c>
      <c r="K3" s="58">
        <v>2</v>
      </c>
      <c r="L3" s="58">
        <v>2.2000000000000002</v>
      </c>
      <c r="M3" s="58">
        <v>2.4</v>
      </c>
      <c r="N3" s="58">
        <v>2.6</v>
      </c>
      <c r="O3" s="58">
        <v>2.8</v>
      </c>
      <c r="P3" s="58">
        <v>3</v>
      </c>
      <c r="Q3" s="58">
        <v>3.2</v>
      </c>
      <c r="R3" s="58">
        <v>3.4</v>
      </c>
      <c r="S3" s="58">
        <v>3.6</v>
      </c>
      <c r="T3" s="58">
        <v>3.8</v>
      </c>
      <c r="U3" s="59">
        <v>4</v>
      </c>
    </row>
    <row r="4" spans="1:21" x14ac:dyDescent="0.3">
      <c r="A4" s="17" t="s">
        <v>84</v>
      </c>
      <c r="B4" s="17">
        <f>G101</f>
        <v>1333.4148885762704</v>
      </c>
      <c r="C4" s="5">
        <f>G111</f>
        <v>1408.7735149918719</v>
      </c>
      <c r="D4" s="5">
        <f>G121</f>
        <v>1407.0463989022574</v>
      </c>
      <c r="E4" s="5">
        <f>G131</f>
        <v>1391.5290672487292</v>
      </c>
      <c r="F4" s="5">
        <f>G141</f>
        <v>1384.0362234975987</v>
      </c>
      <c r="G4" s="5">
        <f>G151</f>
        <v>1433.6635460716748</v>
      </c>
      <c r="H4" s="5">
        <f>G161</f>
        <v>1586.1731975154721</v>
      </c>
      <c r="I4" s="5">
        <f>G171</f>
        <v>1686.1186510700277</v>
      </c>
      <c r="J4" s="5">
        <f>G181</f>
        <v>1744.0892903427398</v>
      </c>
      <c r="K4" s="5">
        <f>G191</f>
        <v>1769.7882446628603</v>
      </c>
      <c r="L4" s="5">
        <f>G201</f>
        <v>1773.0544928606137</v>
      </c>
      <c r="M4" s="5">
        <f>G211</f>
        <v>1763.2636119545277</v>
      </c>
      <c r="N4" s="5">
        <f>G221</f>
        <v>1747.427926303955</v>
      </c>
      <c r="O4" s="5">
        <f>G231</f>
        <v>1729.3627549411881</v>
      </c>
      <c r="P4" s="5">
        <f>G241</f>
        <v>1710.8283802670164</v>
      </c>
      <c r="Q4" s="5">
        <f>G251</f>
        <v>1692.5409993653559</v>
      </c>
      <c r="R4" s="5">
        <f>G261</f>
        <v>1674.9108037783576</v>
      </c>
      <c r="S4" s="5">
        <f>G271</f>
        <v>1657.9902976309595</v>
      </c>
      <c r="T4" s="5">
        <f>G281</f>
        <v>1641.950974868668</v>
      </c>
      <c r="U4" s="21">
        <f>G291</f>
        <v>1626.551468398163</v>
      </c>
    </row>
    <row r="5" spans="1:21" x14ac:dyDescent="0.3">
      <c r="A5" s="17">
        <v>20</v>
      </c>
      <c r="B5" s="17">
        <f t="shared" ref="B5:B13" si="0">G102</f>
        <v>1339.6685634391952</v>
      </c>
      <c r="C5" s="5">
        <f t="shared" ref="C5:C13" si="1">G112</f>
        <v>1417.3826998999193</v>
      </c>
      <c r="D5" s="5">
        <f t="shared" ref="D5:D13" si="2">G122</f>
        <v>1419.1977536581128</v>
      </c>
      <c r="E5" s="5">
        <f t="shared" ref="E5:E13" si="3">G132</f>
        <v>1405.8050665674268</v>
      </c>
      <c r="F5" s="5">
        <f t="shared" ref="F5:F13" si="4">G142</f>
        <v>1396.1625739872889</v>
      </c>
      <c r="G5" s="5">
        <f t="shared" ref="G5:G13" si="5">G152</f>
        <v>1434.8483372187673</v>
      </c>
      <c r="H5" s="5">
        <f t="shared" ref="H5:H13" si="6">G162</f>
        <v>1585.6049479031672</v>
      </c>
      <c r="I5" s="5">
        <f t="shared" ref="I5:I13" si="7">G172</f>
        <v>1686.2365461077118</v>
      </c>
      <c r="J5" s="5">
        <f t="shared" ref="J5:J13" si="8">G182</f>
        <v>1747.6207203076829</v>
      </c>
      <c r="K5" s="5">
        <f t="shared" ref="K5:K13" si="9">G192</f>
        <v>1777.7303894589049</v>
      </c>
      <c r="L5" s="5">
        <f t="shared" ref="L5:L13" si="10">G202</f>
        <v>1784.8076258944441</v>
      </c>
      <c r="M5" s="5">
        <f t="shared" ref="M5:M13" si="11">G212</f>
        <v>1777.1961894290428</v>
      </c>
      <c r="N5" s="5">
        <f t="shared" ref="N5:N13" si="12">G222</f>
        <v>1762.3236189237716</v>
      </c>
      <c r="O5" s="5">
        <f t="shared" ref="O5:O13" si="13">G232</f>
        <v>1744.5950800153696</v>
      </c>
      <c r="P5" s="5">
        <f t="shared" ref="P5:P13" si="14">G242</f>
        <v>1726.1401635296736</v>
      </c>
      <c r="Q5" s="5">
        <f t="shared" ref="Q5:Q13" si="15">G252</f>
        <v>1707.7490595774238</v>
      </c>
      <c r="R5" s="5">
        <f t="shared" ref="R5:R13" si="16">G262</f>
        <v>1689.8971780066101</v>
      </c>
      <c r="S5" s="5">
        <f t="shared" ref="S5:S13" si="17">G272</f>
        <v>1672.7793563178841</v>
      </c>
      <c r="T5" s="5">
        <f t="shared" ref="T5:T13" si="18">G282</f>
        <v>1656.4578202816374</v>
      </c>
      <c r="U5" s="21">
        <f t="shared" ref="U5:U13" si="19">G292</f>
        <v>1640.7343722155567</v>
      </c>
    </row>
    <row r="6" spans="1:21" x14ac:dyDescent="0.3">
      <c r="A6" s="17">
        <v>30</v>
      </c>
      <c r="B6" s="17">
        <f t="shared" si="0"/>
        <v>1343.0407656285947</v>
      </c>
      <c r="C6" s="5">
        <f t="shared" si="1"/>
        <v>1422.1757985431323</v>
      </c>
      <c r="D6" s="5">
        <f t="shared" si="2"/>
        <v>1425.850838127323</v>
      </c>
      <c r="E6" s="5">
        <f t="shared" si="3"/>
        <v>1413.7196951827277</v>
      </c>
      <c r="F6" s="5">
        <f t="shared" si="4"/>
        <v>1403.5357926044878</v>
      </c>
      <c r="G6" s="5">
        <f t="shared" si="5"/>
        <v>1436.6044339229561</v>
      </c>
      <c r="H6" s="5">
        <f t="shared" si="6"/>
        <v>1585.3135947264889</v>
      </c>
      <c r="I6" s="5">
        <f t="shared" si="7"/>
        <v>1686.1376982013417</v>
      </c>
      <c r="J6" s="5">
        <f t="shared" si="8"/>
        <v>1749.1728772289728</v>
      </c>
      <c r="K6" s="5">
        <f t="shared" si="9"/>
        <v>1781.7834577297974</v>
      </c>
      <c r="L6" s="5">
        <f t="shared" si="10"/>
        <v>1791.074785722155</v>
      </c>
      <c r="M6" s="5">
        <f t="shared" si="11"/>
        <v>1784.9559298558006</v>
      </c>
      <c r="N6" s="5">
        <f t="shared" si="12"/>
        <v>1770.887374982525</v>
      </c>
      <c r="O6" s="5">
        <f t="shared" si="13"/>
        <v>1753.4280483924576</v>
      </c>
      <c r="P6" s="5">
        <f t="shared" si="14"/>
        <v>1735.0155950682845</v>
      </c>
      <c r="Q6" s="5">
        <f t="shared" si="15"/>
        <v>1716.6274271092157</v>
      </c>
      <c r="R6" s="5">
        <f t="shared" si="16"/>
        <v>1698.6273839066766</v>
      </c>
      <c r="S6" s="5">
        <f t="shared" si="17"/>
        <v>1681.3573486966332</v>
      </c>
      <c r="T6" s="5">
        <f t="shared" si="18"/>
        <v>1664.8510472133871</v>
      </c>
      <c r="U6" s="21">
        <f t="shared" si="19"/>
        <v>1648.9774747118684</v>
      </c>
    </row>
    <row r="7" spans="1:21" x14ac:dyDescent="0.3">
      <c r="A7" s="17">
        <v>40</v>
      </c>
      <c r="B7" s="17">
        <f t="shared" si="0"/>
        <v>1345.3704852752155</v>
      </c>
      <c r="C7" s="5">
        <f t="shared" si="1"/>
        <v>1425.3141536553803</v>
      </c>
      <c r="D7" s="5">
        <f t="shared" si="2"/>
        <v>1430.3530323197213</v>
      </c>
      <c r="E7" s="5">
        <f t="shared" si="3"/>
        <v>1419.0562388381747</v>
      </c>
      <c r="F7" s="5">
        <f t="shared" si="4"/>
        <v>1408.7564271501606</v>
      </c>
      <c r="G7" s="5">
        <f t="shared" si="5"/>
        <v>1438.5862323334945</v>
      </c>
      <c r="H7" s="5">
        <f t="shared" si="6"/>
        <v>1585.1499311204452</v>
      </c>
      <c r="I7" s="5">
        <f t="shared" si="7"/>
        <v>1686.0160600786025</v>
      </c>
      <c r="J7" s="5">
        <f t="shared" si="8"/>
        <v>1750.1072269382139</v>
      </c>
      <c r="K7" s="5">
        <f t="shared" si="9"/>
        <v>1784.4011143151392</v>
      </c>
      <c r="L7" s="5">
        <f t="shared" si="10"/>
        <v>1795.3419015740037</v>
      </c>
      <c r="M7" s="5">
        <f t="shared" si="11"/>
        <v>1790.3700652802045</v>
      </c>
      <c r="N7" s="5">
        <f t="shared" si="12"/>
        <v>1776.8552688478012</v>
      </c>
      <c r="O7" s="5">
        <f t="shared" si="13"/>
        <v>1759.6444656534875</v>
      </c>
      <c r="P7" s="5">
        <f t="shared" si="14"/>
        <v>1741.2835496445134</v>
      </c>
      <c r="Q7" s="5">
        <f t="shared" si="15"/>
        <v>1722.8367779806044</v>
      </c>
      <c r="R7" s="5">
        <f t="shared" si="16"/>
        <v>1704.7962534997509</v>
      </c>
      <c r="S7" s="5">
        <f t="shared" si="17"/>
        <v>1687.4425377606715</v>
      </c>
      <c r="T7" s="5">
        <f t="shared" si="18"/>
        <v>1670.7256697598789</v>
      </c>
      <c r="U7" s="21">
        <f t="shared" si="19"/>
        <v>1654.8154284758582</v>
      </c>
    </row>
    <row r="8" spans="1:21" x14ac:dyDescent="0.3">
      <c r="A8" s="17">
        <v>50</v>
      </c>
      <c r="B8" s="17">
        <f t="shared" si="0"/>
        <v>1346.9998752972795</v>
      </c>
      <c r="C8" s="5">
        <f t="shared" si="1"/>
        <v>1427.7498771890589</v>
      </c>
      <c r="D8" s="5">
        <f t="shared" si="2"/>
        <v>1433.7222806613142</v>
      </c>
      <c r="E8" s="5">
        <f t="shared" si="3"/>
        <v>1423.0784408041932</v>
      </c>
      <c r="F8" s="5">
        <f t="shared" si="4"/>
        <v>1412.7409314620163</v>
      </c>
      <c r="G8" s="5">
        <f t="shared" si="5"/>
        <v>1440.6058539573692</v>
      </c>
      <c r="H8" s="5">
        <f t="shared" si="6"/>
        <v>1585.013834671988</v>
      </c>
      <c r="I8" s="5">
        <f t="shared" si="7"/>
        <v>1685.9063847676505</v>
      </c>
      <c r="J8" s="64">
        <f t="shared" si="8"/>
        <v>1750.6905657014306</v>
      </c>
      <c r="K8" s="64">
        <f t="shared" si="9"/>
        <v>1786.2300060703574</v>
      </c>
      <c r="L8" s="64">
        <f t="shared" si="10"/>
        <v>1798.5344050689332</v>
      </c>
      <c r="M8" s="5">
        <f t="shared" si="11"/>
        <v>1794.4547310064534</v>
      </c>
      <c r="N8" s="5">
        <f t="shared" si="12"/>
        <v>1781.3726423301391</v>
      </c>
      <c r="O8" s="5">
        <f t="shared" si="13"/>
        <v>1764.4012379979647</v>
      </c>
      <c r="P8" s="5">
        <f t="shared" si="14"/>
        <v>1746.0815246015263</v>
      </c>
      <c r="Q8" s="5">
        <f t="shared" si="15"/>
        <v>1727.6386631395105</v>
      </c>
      <c r="R8" s="5">
        <f t="shared" si="16"/>
        <v>1709.5641265521697</v>
      </c>
      <c r="S8" s="5">
        <f t="shared" si="17"/>
        <v>1692.0917232932236</v>
      </c>
      <c r="T8" s="5">
        <f t="shared" si="18"/>
        <v>1675.322621497251</v>
      </c>
      <c r="U8" s="21">
        <f t="shared" si="19"/>
        <v>1659.260108565464</v>
      </c>
    </row>
    <row r="9" spans="1:21" x14ac:dyDescent="0.3">
      <c r="A9" s="17">
        <v>60</v>
      </c>
      <c r="B9" s="17">
        <f t="shared" si="0"/>
        <v>1348.4349753931124</v>
      </c>
      <c r="C9" s="5">
        <f t="shared" si="1"/>
        <v>1429.647946242583</v>
      </c>
      <c r="D9" s="5">
        <f t="shared" si="2"/>
        <v>1436.2870344696446</v>
      </c>
      <c r="E9" s="5">
        <f t="shared" si="3"/>
        <v>1426.2258833079566</v>
      </c>
      <c r="F9" s="5">
        <f t="shared" si="4"/>
        <v>1415.9278910983405</v>
      </c>
      <c r="G9" s="5">
        <f t="shared" si="5"/>
        <v>1442.7080280847383</v>
      </c>
      <c r="H9" s="5">
        <f t="shared" si="6"/>
        <v>1584.9310549584575</v>
      </c>
      <c r="I9" s="5">
        <f t="shared" si="7"/>
        <v>1685.8684389107143</v>
      </c>
      <c r="J9" s="5">
        <f t="shared" si="8"/>
        <v>1751.094467568252</v>
      </c>
      <c r="K9" s="5">
        <f t="shared" si="9"/>
        <v>1787.6358990060521</v>
      </c>
      <c r="L9" s="5">
        <f t="shared" si="10"/>
        <v>1800.9857535080496</v>
      </c>
      <c r="M9" s="5">
        <f t="shared" si="11"/>
        <v>1797.7114275272227</v>
      </c>
      <c r="N9" s="5">
        <f t="shared" si="12"/>
        <v>1785.0873901090874</v>
      </c>
      <c r="O9" s="5">
        <f t="shared" si="13"/>
        <v>1768.2867451317222</v>
      </c>
      <c r="P9" s="5">
        <f t="shared" si="14"/>
        <v>1750.0033410328085</v>
      </c>
      <c r="Q9" s="5">
        <f t="shared" si="15"/>
        <v>1731.5644571181226</v>
      </c>
      <c r="R9" s="5">
        <f t="shared" si="16"/>
        <v>1713.4304618497413</v>
      </c>
      <c r="S9" s="5">
        <f t="shared" si="17"/>
        <v>1695.8575028591788</v>
      </c>
      <c r="T9" s="5">
        <f t="shared" si="18"/>
        <v>1679.023672270825</v>
      </c>
      <c r="U9" s="21">
        <f t="shared" si="19"/>
        <v>1662.9059400290737</v>
      </c>
    </row>
    <row r="10" spans="1:21" x14ac:dyDescent="0.3">
      <c r="A10" s="17">
        <v>70</v>
      </c>
      <c r="B10" s="17">
        <f t="shared" si="0"/>
        <v>1349.5797340766626</v>
      </c>
      <c r="C10" s="5">
        <f t="shared" si="1"/>
        <v>1431.2328142145918</v>
      </c>
      <c r="D10" s="5">
        <f t="shared" si="2"/>
        <v>1438.449142643467</v>
      </c>
      <c r="E10" s="5">
        <f t="shared" si="3"/>
        <v>1428.8092801659707</v>
      </c>
      <c r="F10" s="5">
        <f t="shared" si="4"/>
        <v>1418.5815613329762</v>
      </c>
      <c r="G10" s="5">
        <f t="shared" si="5"/>
        <v>1444.6483361650996</v>
      </c>
      <c r="H10" s="5">
        <f t="shared" si="6"/>
        <v>1584.8574073569373</v>
      </c>
      <c r="I10" s="5">
        <f t="shared" si="7"/>
        <v>1685.7871136315953</v>
      </c>
      <c r="J10" s="5">
        <f t="shared" si="8"/>
        <v>1751.4395284737245</v>
      </c>
      <c r="K10" s="5">
        <f t="shared" si="9"/>
        <v>1788.725687177694</v>
      </c>
      <c r="L10" s="5">
        <f t="shared" si="10"/>
        <v>1803.0136122591618</v>
      </c>
      <c r="M10" s="5">
        <f t="shared" si="11"/>
        <v>1800.467940120684</v>
      </c>
      <c r="N10" s="5">
        <f t="shared" si="12"/>
        <v>1788.1891839505156</v>
      </c>
      <c r="O10" s="5">
        <f t="shared" si="13"/>
        <v>1771.5734348670153</v>
      </c>
      <c r="P10" s="5">
        <f t="shared" si="14"/>
        <v>1753.3398248254643</v>
      </c>
      <c r="Q10" s="5">
        <f t="shared" si="15"/>
        <v>1734.8331686879587</v>
      </c>
      <c r="R10" s="5">
        <f t="shared" si="16"/>
        <v>1716.6714862563713</v>
      </c>
      <c r="S10" s="5">
        <f t="shared" si="17"/>
        <v>1699.0509322723835</v>
      </c>
      <c r="T10" s="5">
        <f t="shared" si="18"/>
        <v>1682.1485436737917</v>
      </c>
      <c r="U10" s="21">
        <f t="shared" si="19"/>
        <v>1665.9409697165245</v>
      </c>
    </row>
    <row r="11" spans="1:21" x14ac:dyDescent="0.3">
      <c r="A11" s="17">
        <v>80</v>
      </c>
      <c r="B11" s="17">
        <f t="shared" si="0"/>
        <v>1350.5200749357016</v>
      </c>
      <c r="C11" s="5">
        <f t="shared" si="1"/>
        <v>1432.5512216545358</v>
      </c>
      <c r="D11" s="5">
        <f t="shared" si="2"/>
        <v>1440.3195419631302</v>
      </c>
      <c r="E11" s="5">
        <f t="shared" si="3"/>
        <v>1431.034249441778</v>
      </c>
      <c r="F11" s="5">
        <f t="shared" si="4"/>
        <v>1420.7949290454944</v>
      </c>
      <c r="G11" s="5">
        <f t="shared" si="5"/>
        <v>1446.4665195879352</v>
      </c>
      <c r="H11" s="5">
        <f t="shared" si="6"/>
        <v>1584.8301752461241</v>
      </c>
      <c r="I11" s="5">
        <f t="shared" si="7"/>
        <v>1685.7099475245791</v>
      </c>
      <c r="J11" s="5">
        <f t="shared" si="8"/>
        <v>1751.6918103596572</v>
      </c>
      <c r="K11" s="5">
        <f t="shared" si="9"/>
        <v>1789.66398127465</v>
      </c>
      <c r="L11" s="5">
        <f t="shared" si="10"/>
        <v>1804.7330376322993</v>
      </c>
      <c r="M11" s="5">
        <f t="shared" si="11"/>
        <v>1802.7473941959693</v>
      </c>
      <c r="N11" s="5">
        <f t="shared" si="12"/>
        <v>1790.8298400517242</v>
      </c>
      <c r="O11" s="5">
        <f t="shared" si="13"/>
        <v>1774.3508829255884</v>
      </c>
      <c r="P11" s="5">
        <f t="shared" si="14"/>
        <v>1756.1878537741338</v>
      </c>
      <c r="Q11" s="5">
        <f t="shared" si="15"/>
        <v>1737.6581755291545</v>
      </c>
      <c r="R11" s="5">
        <f t="shared" si="16"/>
        <v>1719.4563995872982</v>
      </c>
      <c r="S11" s="5">
        <f t="shared" si="17"/>
        <v>1701.8644119242008</v>
      </c>
      <c r="T11" s="5">
        <f t="shared" si="18"/>
        <v>1684.8363798470186</v>
      </c>
      <c r="U11" s="21">
        <f t="shared" si="19"/>
        <v>1668.5598653919067</v>
      </c>
    </row>
    <row r="12" spans="1:21" x14ac:dyDescent="0.3">
      <c r="A12" s="17">
        <v>90</v>
      </c>
      <c r="B12" s="17">
        <f t="shared" si="0"/>
        <v>1351.3360224352982</v>
      </c>
      <c r="C12" s="5">
        <f t="shared" si="1"/>
        <v>1433.7495858840464</v>
      </c>
      <c r="D12" s="5">
        <f t="shared" si="2"/>
        <v>1441.9130455453646</v>
      </c>
      <c r="E12" s="5">
        <f t="shared" si="3"/>
        <v>1432.8668252514401</v>
      </c>
      <c r="F12" s="5">
        <f t="shared" si="4"/>
        <v>1422.7403739017764</v>
      </c>
      <c r="G12" s="5">
        <f t="shared" si="5"/>
        <v>1448.2103975075863</v>
      </c>
      <c r="H12" s="5">
        <f t="shared" si="6"/>
        <v>1584.8006469163251</v>
      </c>
      <c r="I12" s="5">
        <f t="shared" si="7"/>
        <v>1685.6339651202684</v>
      </c>
      <c r="J12" s="5">
        <f t="shared" si="8"/>
        <v>1751.8929745135374</v>
      </c>
      <c r="K12" s="5">
        <f t="shared" si="9"/>
        <v>1790.4182645145329</v>
      </c>
      <c r="L12" s="5">
        <f t="shared" si="10"/>
        <v>1806.1636197229645</v>
      </c>
      <c r="M12" s="5">
        <f t="shared" si="11"/>
        <v>1804.7656954497988</v>
      </c>
      <c r="N12" s="5">
        <f t="shared" si="12"/>
        <v>1793.163363881597</v>
      </c>
      <c r="O12" s="5">
        <f t="shared" si="13"/>
        <v>1776.7656042101646</v>
      </c>
      <c r="P12" s="5">
        <f t="shared" si="14"/>
        <v>1758.6620896449683</v>
      </c>
      <c r="Q12" s="5">
        <f t="shared" si="15"/>
        <v>1740.1555731209519</v>
      </c>
      <c r="R12" s="5">
        <f t="shared" si="16"/>
        <v>1721.9124621510944</v>
      </c>
      <c r="S12" s="5">
        <f t="shared" si="17"/>
        <v>1704.2697015018696</v>
      </c>
      <c r="T12" s="5">
        <f t="shared" si="18"/>
        <v>1687.2243087538839</v>
      </c>
      <c r="U12" s="21">
        <f t="shared" si="19"/>
        <v>1670.8763576489957</v>
      </c>
    </row>
    <row r="13" spans="1:21" x14ac:dyDescent="0.3">
      <c r="A13" s="18">
        <v>100</v>
      </c>
      <c r="B13" s="18">
        <f t="shared" si="0"/>
        <v>1352.048044073229</v>
      </c>
      <c r="C13" s="14">
        <f t="shared" si="1"/>
        <v>1434.810189147044</v>
      </c>
      <c r="D13" s="14">
        <f t="shared" si="2"/>
        <v>1443.2867620271134</v>
      </c>
      <c r="E13" s="14">
        <f t="shared" si="3"/>
        <v>1434.5909264388854</v>
      </c>
      <c r="F13" s="14">
        <f t="shared" si="4"/>
        <v>1424.4267608762093</v>
      </c>
      <c r="G13" s="14">
        <f t="shared" si="5"/>
        <v>1449.833650336398</v>
      </c>
      <c r="H13" s="14">
        <f t="shared" si="6"/>
        <v>1584.7825148743625</v>
      </c>
      <c r="I13" s="14">
        <f t="shared" si="7"/>
        <v>1685.5930189108512</v>
      </c>
      <c r="J13" s="14">
        <f t="shared" si="8"/>
        <v>1752.07172224339</v>
      </c>
      <c r="K13" s="14">
        <f t="shared" si="9"/>
        <v>1791.0981929114334</v>
      </c>
      <c r="L13" s="14">
        <f t="shared" si="10"/>
        <v>1807.492437672496</v>
      </c>
      <c r="M13" s="14">
        <f t="shared" si="11"/>
        <v>1806.5295189151325</v>
      </c>
      <c r="N13" s="14">
        <f t="shared" si="12"/>
        <v>1795.239067543976</v>
      </c>
      <c r="O13" s="14">
        <f t="shared" si="13"/>
        <v>1778.9547337124898</v>
      </c>
      <c r="P13" s="14">
        <f t="shared" si="14"/>
        <v>1760.8762138784971</v>
      </c>
      <c r="Q13" s="14">
        <f t="shared" si="15"/>
        <v>1742.3679137918186</v>
      </c>
      <c r="R13" s="14">
        <f t="shared" si="16"/>
        <v>1724.114557724552</v>
      </c>
      <c r="S13" s="14">
        <f t="shared" si="17"/>
        <v>1706.3871141125412</v>
      </c>
      <c r="T13" s="14">
        <f t="shared" si="18"/>
        <v>1689.3140967684528</v>
      </c>
      <c r="U13" s="22">
        <f t="shared" si="19"/>
        <v>1672.9478767321652</v>
      </c>
    </row>
    <row r="14" spans="1:21" x14ac:dyDescent="0.3">
      <c r="I14" s="2"/>
    </row>
    <row r="15" spans="1:21" x14ac:dyDescent="0.3">
      <c r="I15" s="2"/>
    </row>
    <row r="16" spans="1:21" x14ac:dyDescent="0.3">
      <c r="I16" s="2"/>
    </row>
    <row r="17" spans="1:9" x14ac:dyDescent="0.3">
      <c r="I17" s="2"/>
    </row>
    <row r="18" spans="1:9" x14ac:dyDescent="0.3">
      <c r="I18" s="2"/>
    </row>
    <row r="19" spans="1:9" x14ac:dyDescent="0.3">
      <c r="I19" s="2"/>
    </row>
    <row r="20" spans="1:9" x14ac:dyDescent="0.3">
      <c r="I20" s="2"/>
    </row>
    <row r="21" spans="1:9" x14ac:dyDescent="0.3">
      <c r="I21" s="2"/>
    </row>
    <row r="22" spans="1:9" x14ac:dyDescent="0.3">
      <c r="I22" s="2"/>
    </row>
    <row r="23" spans="1:9" x14ac:dyDescent="0.3">
      <c r="I23" s="2"/>
    </row>
    <row r="24" spans="1:9" x14ac:dyDescent="0.3">
      <c r="I24" s="2"/>
    </row>
    <row r="25" spans="1:9" x14ac:dyDescent="0.3">
      <c r="I25" s="2"/>
    </row>
    <row r="26" spans="1:9" x14ac:dyDescent="0.3">
      <c r="I26" s="2"/>
    </row>
    <row r="27" spans="1:9" x14ac:dyDescent="0.3">
      <c r="I27" s="2"/>
    </row>
    <row r="28" spans="1:9" x14ac:dyDescent="0.3">
      <c r="I28" s="2"/>
    </row>
    <row r="29" spans="1:9" x14ac:dyDescent="0.3">
      <c r="I29" s="2"/>
    </row>
    <row r="30" spans="1:9" x14ac:dyDescent="0.3">
      <c r="I30" s="2"/>
    </row>
    <row r="31" spans="1:9" x14ac:dyDescent="0.3">
      <c r="I31" s="2"/>
    </row>
    <row r="32" spans="1:9" ht="23.4" x14ac:dyDescent="0.45">
      <c r="A32" s="39" t="s">
        <v>28</v>
      </c>
      <c r="I32" s="2"/>
    </row>
    <row r="33" spans="1:21" x14ac:dyDescent="0.3">
      <c r="A33" s="16" t="s">
        <v>26</v>
      </c>
      <c r="B33" s="20" t="s">
        <v>34</v>
      </c>
      <c r="I33" s="2"/>
    </row>
    <row r="34" spans="1:21" s="3" customFormat="1" x14ac:dyDescent="0.3">
      <c r="A34" s="16"/>
      <c r="B34" s="7">
        <v>0.2</v>
      </c>
      <c r="C34" s="8">
        <v>0.4</v>
      </c>
      <c r="D34" s="8">
        <v>0.6</v>
      </c>
      <c r="E34" s="8">
        <v>0.8</v>
      </c>
      <c r="F34" s="8">
        <v>1</v>
      </c>
      <c r="G34" s="8">
        <v>1.2</v>
      </c>
      <c r="H34" s="8">
        <v>1.4</v>
      </c>
      <c r="I34" s="8">
        <v>1.6</v>
      </c>
      <c r="J34" s="8">
        <v>1.8</v>
      </c>
      <c r="K34" s="8">
        <v>2</v>
      </c>
      <c r="L34" s="8">
        <v>2.2000000000000002</v>
      </c>
      <c r="M34" s="8">
        <v>2.4</v>
      </c>
      <c r="N34" s="8">
        <v>2.6</v>
      </c>
      <c r="O34" s="8">
        <v>2.8</v>
      </c>
      <c r="P34" s="8">
        <v>3</v>
      </c>
      <c r="Q34" s="8">
        <v>3.2</v>
      </c>
      <c r="R34" s="8">
        <v>3.4</v>
      </c>
      <c r="S34" s="8">
        <v>3.6</v>
      </c>
      <c r="T34" s="8">
        <v>3.8</v>
      </c>
      <c r="U34" s="9">
        <v>4</v>
      </c>
    </row>
    <row r="35" spans="1:21" x14ac:dyDescent="0.3">
      <c r="A35" s="17">
        <v>10</v>
      </c>
      <c r="B35" s="40">
        <f>D101</f>
        <v>968.98</v>
      </c>
      <c r="C35" s="31">
        <f>D111</f>
        <v>1101.3</v>
      </c>
      <c r="D35" s="31">
        <f>D121</f>
        <v>1197.7</v>
      </c>
      <c r="E35" s="31">
        <f>D131</f>
        <v>1304.8</v>
      </c>
      <c r="F35" s="31">
        <f>D141</f>
        <v>1457.1</v>
      </c>
      <c r="G35" s="31">
        <f>D151</f>
        <v>1732.8</v>
      </c>
      <c r="H35" s="31">
        <f>D161</f>
        <v>2257.8000000000002</v>
      </c>
      <c r="I35" s="31">
        <f>D171</f>
        <v>2678.7</v>
      </c>
      <c r="J35" s="31">
        <f>D181</f>
        <v>2983.4</v>
      </c>
      <c r="K35" s="31">
        <f>D191</f>
        <v>3183.8</v>
      </c>
      <c r="L35" s="31">
        <f>D201</f>
        <v>3301.8</v>
      </c>
      <c r="M35" s="31">
        <f>D211</f>
        <v>3364.9</v>
      </c>
      <c r="N35" s="31">
        <f>D221</f>
        <v>3395.6</v>
      </c>
      <c r="O35" s="31">
        <f>D231</f>
        <v>3407.8</v>
      </c>
      <c r="P35" s="31">
        <f>D241</f>
        <v>3409.2</v>
      </c>
      <c r="Q35" s="31">
        <f>D251</f>
        <v>3403.8</v>
      </c>
      <c r="R35" s="31">
        <f>D261</f>
        <v>3394</v>
      </c>
      <c r="S35" s="31">
        <f>D271</f>
        <v>3381.4</v>
      </c>
      <c r="T35" s="31">
        <f>D281</f>
        <v>3366.8</v>
      </c>
      <c r="U35" s="41">
        <f>D291</f>
        <v>3350.7</v>
      </c>
    </row>
    <row r="36" spans="1:21" x14ac:dyDescent="0.3">
      <c r="A36" s="17">
        <v>20</v>
      </c>
      <c r="B36" s="17">
        <f t="shared" ref="B36:B44" si="20">D102</f>
        <v>1005.2</v>
      </c>
      <c r="C36" s="5">
        <f t="shared" ref="C36:C44" si="21">D112</f>
        <v>1145.9000000000001</v>
      </c>
      <c r="D36" s="5">
        <f t="shared" ref="D36:D44" si="22">D122</f>
        <v>1245.4000000000001</v>
      </c>
      <c r="E36" s="5">
        <f t="shared" ref="E36:E44" si="23">D132</f>
        <v>1349.6</v>
      </c>
      <c r="F36" s="5">
        <f t="shared" ref="F36:F44" si="24">D142</f>
        <v>1487.4</v>
      </c>
      <c r="G36" s="5">
        <f t="shared" ref="G36:G44" si="25">D152</f>
        <v>1735</v>
      </c>
      <c r="H36" s="5">
        <f t="shared" ref="H36:H44" si="26">D162</f>
        <v>2260.5</v>
      </c>
      <c r="I36" s="5">
        <f t="shared" ref="I36:I44" si="27">D172</f>
        <v>2694.2</v>
      </c>
      <c r="J36" s="5">
        <f t="shared" ref="J36:J44" si="28">D182</f>
        <v>3021</v>
      </c>
      <c r="K36" s="5">
        <f t="shared" ref="K36:K44" si="29">D192</f>
        <v>3244.8</v>
      </c>
      <c r="L36" s="5">
        <f t="shared" ref="L36:L44" si="30">D202</f>
        <v>3381.6</v>
      </c>
      <c r="M36" s="5">
        <f t="shared" ref="M36:M44" si="31">D212</f>
        <v>3456.3</v>
      </c>
      <c r="N36" s="5">
        <f t="shared" ref="N36:N44" si="32">D222</f>
        <v>3493.3</v>
      </c>
      <c r="O36" s="5">
        <f t="shared" ref="O36:O44" si="33">D232</f>
        <v>3508.5</v>
      </c>
      <c r="P36" s="5">
        <f t="shared" ref="P36:P44" si="34">D242</f>
        <v>3510.9</v>
      </c>
      <c r="Q36" s="5">
        <f t="shared" ref="Q36:Q44" si="35">D252</f>
        <v>3505.4</v>
      </c>
      <c r="R36" s="5">
        <f t="shared" ref="R36:R44" si="36">D262</f>
        <v>3495</v>
      </c>
      <c r="S36" s="5">
        <f t="shared" ref="S36:S44" si="37">D272</f>
        <v>3481.2</v>
      </c>
      <c r="T36" s="5">
        <f t="shared" ref="T36:T44" si="38">D282</f>
        <v>3465.1</v>
      </c>
      <c r="U36" s="21">
        <f t="shared" ref="U36:U44" si="39">D292</f>
        <v>3447.3</v>
      </c>
    </row>
    <row r="37" spans="1:21" x14ac:dyDescent="0.3">
      <c r="A37" s="17">
        <v>30</v>
      </c>
      <c r="B37" s="17">
        <f t="shared" si="20"/>
        <v>1026.7</v>
      </c>
      <c r="C37" s="5">
        <f t="shared" si="21"/>
        <v>1173.3</v>
      </c>
      <c r="D37" s="5">
        <f t="shared" si="22"/>
        <v>1275.2</v>
      </c>
      <c r="E37" s="5">
        <f t="shared" si="23"/>
        <v>1378.5</v>
      </c>
      <c r="F37" s="5">
        <f t="shared" si="24"/>
        <v>1509.4</v>
      </c>
      <c r="G37" s="5">
        <f t="shared" si="25"/>
        <v>1738.4</v>
      </c>
      <c r="H37" s="5">
        <f t="shared" si="26"/>
        <v>2261.6999999999998</v>
      </c>
      <c r="I37" s="5">
        <f t="shared" si="27"/>
        <v>2701.6</v>
      </c>
      <c r="J37" s="5">
        <f t="shared" si="28"/>
        <v>3040.4</v>
      </c>
      <c r="K37" s="5">
        <f t="shared" si="29"/>
        <v>3278.3</v>
      </c>
      <c r="L37" s="5">
        <f t="shared" si="30"/>
        <v>3427.1</v>
      </c>
      <c r="M37" s="5">
        <f t="shared" si="31"/>
        <v>3509.8</v>
      </c>
      <c r="N37" s="5">
        <f t="shared" si="32"/>
        <v>3551.2</v>
      </c>
      <c r="O37" s="5">
        <f t="shared" si="33"/>
        <v>3568.5</v>
      </c>
      <c r="P37" s="5">
        <f t="shared" si="34"/>
        <v>3571.7</v>
      </c>
      <c r="Q37" s="5">
        <f t="shared" si="35"/>
        <v>3566.3</v>
      </c>
      <c r="R37" s="5">
        <f t="shared" si="36"/>
        <v>3555.4</v>
      </c>
      <c r="S37" s="5">
        <f t="shared" si="37"/>
        <v>3540.9</v>
      </c>
      <c r="T37" s="5">
        <f t="shared" si="38"/>
        <v>3523.8</v>
      </c>
      <c r="U37" s="21">
        <f t="shared" si="39"/>
        <v>3505</v>
      </c>
    </row>
    <row r="38" spans="1:21" x14ac:dyDescent="0.3">
      <c r="A38" s="17">
        <v>40</v>
      </c>
      <c r="B38" s="17">
        <f t="shared" si="20"/>
        <v>1042</v>
      </c>
      <c r="C38" s="5">
        <f t="shared" si="21"/>
        <v>1193.2</v>
      </c>
      <c r="D38" s="5">
        <f t="shared" si="22"/>
        <v>1297.2</v>
      </c>
      <c r="E38" s="5">
        <f t="shared" si="23"/>
        <v>1400.2</v>
      </c>
      <c r="F38" s="5">
        <f t="shared" si="24"/>
        <v>1527</v>
      </c>
      <c r="G38" s="5">
        <f t="shared" si="25"/>
        <v>1742.5</v>
      </c>
      <c r="H38" s="5">
        <f t="shared" si="26"/>
        <v>2262.5</v>
      </c>
      <c r="I38" s="5">
        <f t="shared" si="27"/>
        <v>2706.3</v>
      </c>
      <c r="J38" s="5">
        <f t="shared" si="28"/>
        <v>3053.1</v>
      </c>
      <c r="K38" s="5">
        <f t="shared" si="29"/>
        <v>3300.9</v>
      </c>
      <c r="L38" s="5">
        <f t="shared" si="30"/>
        <v>3458.7</v>
      </c>
      <c r="M38" s="5">
        <f t="shared" si="31"/>
        <v>3547.6</v>
      </c>
      <c r="N38" s="5">
        <f t="shared" si="32"/>
        <v>3592.5</v>
      </c>
      <c r="O38" s="5">
        <f t="shared" si="33"/>
        <v>3611.5</v>
      </c>
      <c r="P38" s="5">
        <f t="shared" si="34"/>
        <v>3615.4</v>
      </c>
      <c r="Q38" s="5">
        <f t="shared" si="35"/>
        <v>3610.1</v>
      </c>
      <c r="R38" s="5">
        <f t="shared" si="36"/>
        <v>3598.9</v>
      </c>
      <c r="S38" s="5">
        <f t="shared" si="37"/>
        <v>3583.8</v>
      </c>
      <c r="T38" s="5">
        <f t="shared" si="38"/>
        <v>3566</v>
      </c>
      <c r="U38" s="21">
        <f t="shared" si="39"/>
        <v>3546.5</v>
      </c>
    </row>
    <row r="39" spans="1:21" x14ac:dyDescent="0.3">
      <c r="A39" s="17">
        <v>50</v>
      </c>
      <c r="B39" s="17">
        <f t="shared" si="20"/>
        <v>1053.8</v>
      </c>
      <c r="C39" s="5">
        <f t="shared" si="21"/>
        <v>1209</v>
      </c>
      <c r="D39" s="5">
        <f t="shared" si="22"/>
        <v>1314.7</v>
      </c>
      <c r="E39" s="5">
        <f t="shared" si="23"/>
        <v>1417.7</v>
      </c>
      <c r="F39" s="5">
        <f t="shared" si="24"/>
        <v>1541.7</v>
      </c>
      <c r="G39" s="5">
        <f t="shared" si="25"/>
        <v>1747</v>
      </c>
      <c r="H39" s="5">
        <f t="shared" si="26"/>
        <v>2263</v>
      </c>
      <c r="I39" s="5">
        <f t="shared" si="27"/>
        <v>2709.5</v>
      </c>
      <c r="J39" s="64">
        <f t="shared" si="28"/>
        <v>3062.2</v>
      </c>
      <c r="K39" s="64">
        <f t="shared" si="29"/>
        <v>3317.7</v>
      </c>
      <c r="L39" s="64">
        <f t="shared" si="30"/>
        <v>3482.8</v>
      </c>
      <c r="M39" s="5">
        <f t="shared" si="31"/>
        <v>3576.8</v>
      </c>
      <c r="N39" s="5">
        <f t="shared" si="32"/>
        <v>3624.6</v>
      </c>
      <c r="O39" s="5">
        <f t="shared" si="33"/>
        <v>3645.1</v>
      </c>
      <c r="P39" s="5">
        <f t="shared" si="34"/>
        <v>3649.6</v>
      </c>
      <c r="Q39" s="5">
        <f t="shared" si="35"/>
        <v>3644.3</v>
      </c>
      <c r="R39" s="5">
        <f t="shared" si="36"/>
        <v>3632.9</v>
      </c>
      <c r="S39" s="5">
        <f t="shared" si="37"/>
        <v>3617.4</v>
      </c>
      <c r="T39" s="5">
        <f t="shared" si="38"/>
        <v>3599.1</v>
      </c>
      <c r="U39" s="21">
        <f t="shared" si="39"/>
        <v>3578.8</v>
      </c>
    </row>
    <row r="40" spans="1:21" x14ac:dyDescent="0.3">
      <c r="A40" s="17">
        <v>60</v>
      </c>
      <c r="B40" s="17">
        <f t="shared" si="20"/>
        <v>1063.5</v>
      </c>
      <c r="C40" s="5">
        <f t="shared" si="21"/>
        <v>1222</v>
      </c>
      <c r="D40" s="5">
        <f t="shared" si="22"/>
        <v>1329.2</v>
      </c>
      <c r="E40" s="5">
        <f t="shared" si="23"/>
        <v>1432.4</v>
      </c>
      <c r="F40" s="5">
        <f t="shared" si="24"/>
        <v>1554.4</v>
      </c>
      <c r="G40" s="5">
        <f t="shared" si="25"/>
        <v>1751.9</v>
      </c>
      <c r="H40" s="5">
        <f t="shared" si="26"/>
        <v>2263.4</v>
      </c>
      <c r="I40" s="5">
        <f t="shared" si="27"/>
        <v>2712</v>
      </c>
      <c r="J40" s="5">
        <f t="shared" si="28"/>
        <v>3069.3</v>
      </c>
      <c r="K40" s="5">
        <f t="shared" si="29"/>
        <v>3331</v>
      </c>
      <c r="L40" s="5">
        <f t="shared" si="30"/>
        <v>3502.1</v>
      </c>
      <c r="M40" s="5">
        <f t="shared" si="31"/>
        <v>3600.5</v>
      </c>
      <c r="N40" s="5">
        <f t="shared" si="32"/>
        <v>3650.9</v>
      </c>
      <c r="O40" s="5">
        <f t="shared" si="33"/>
        <v>3672.7</v>
      </c>
      <c r="P40" s="5">
        <f t="shared" si="34"/>
        <v>3677.7</v>
      </c>
      <c r="Q40" s="5">
        <f t="shared" si="35"/>
        <v>3672.5</v>
      </c>
      <c r="R40" s="5">
        <f t="shared" si="36"/>
        <v>3660.9</v>
      </c>
      <c r="S40" s="5">
        <f t="shared" si="37"/>
        <v>3645</v>
      </c>
      <c r="T40" s="5">
        <f t="shared" si="38"/>
        <v>3626.3</v>
      </c>
      <c r="U40" s="21">
        <f t="shared" si="39"/>
        <v>3605.5</v>
      </c>
    </row>
    <row r="41" spans="1:21" x14ac:dyDescent="0.3">
      <c r="A41" s="17">
        <v>70</v>
      </c>
      <c r="B41" s="17">
        <f t="shared" si="20"/>
        <v>1071.7</v>
      </c>
      <c r="C41" s="5">
        <f t="shared" si="21"/>
        <v>1233.2</v>
      </c>
      <c r="D41" s="5">
        <f t="shared" si="22"/>
        <v>1341.8</v>
      </c>
      <c r="E41" s="5">
        <f t="shared" si="23"/>
        <v>1445.2</v>
      </c>
      <c r="F41" s="5">
        <f t="shared" si="24"/>
        <v>1565.6</v>
      </c>
      <c r="G41" s="5">
        <f t="shared" si="25"/>
        <v>1756.8</v>
      </c>
      <c r="H41" s="5">
        <f t="shared" si="26"/>
        <v>2263.6999999999998</v>
      </c>
      <c r="I41" s="5">
        <f t="shared" si="27"/>
        <v>2713.9</v>
      </c>
      <c r="J41" s="5">
        <f t="shared" si="28"/>
        <v>3075</v>
      </c>
      <c r="K41" s="5">
        <f t="shared" si="29"/>
        <v>3341.9</v>
      </c>
      <c r="L41" s="5">
        <f t="shared" si="30"/>
        <v>3518.2</v>
      </c>
      <c r="M41" s="5">
        <f t="shared" si="31"/>
        <v>3620.5</v>
      </c>
      <c r="N41" s="5">
        <f t="shared" si="32"/>
        <v>3673.1</v>
      </c>
      <c r="O41" s="5">
        <f t="shared" si="33"/>
        <v>3696.1</v>
      </c>
      <c r="P41" s="5">
        <f t="shared" si="34"/>
        <v>3701.6</v>
      </c>
      <c r="Q41" s="5">
        <f t="shared" si="35"/>
        <v>3696.5</v>
      </c>
      <c r="R41" s="5">
        <f t="shared" si="36"/>
        <v>3684.7</v>
      </c>
      <c r="S41" s="5">
        <f t="shared" si="37"/>
        <v>3668.5</v>
      </c>
      <c r="T41" s="5">
        <f t="shared" si="38"/>
        <v>3649.4</v>
      </c>
      <c r="U41" s="21">
        <f t="shared" si="39"/>
        <v>3628.1</v>
      </c>
    </row>
    <row r="42" spans="1:21" x14ac:dyDescent="0.3">
      <c r="A42" s="17">
        <v>80</v>
      </c>
      <c r="B42" s="17">
        <f t="shared" si="20"/>
        <v>1078.7</v>
      </c>
      <c r="C42" s="5">
        <f t="shared" si="21"/>
        <v>1242.9000000000001</v>
      </c>
      <c r="D42" s="5">
        <f t="shared" si="22"/>
        <v>1352.8</v>
      </c>
      <c r="E42" s="5">
        <f t="shared" si="23"/>
        <v>1456.4</v>
      </c>
      <c r="F42" s="5">
        <f t="shared" si="24"/>
        <v>1575.7</v>
      </c>
      <c r="G42" s="5">
        <f t="shared" si="25"/>
        <v>1761.8</v>
      </c>
      <c r="H42" s="5">
        <f t="shared" si="26"/>
        <v>2264</v>
      </c>
      <c r="I42" s="5">
        <f t="shared" si="27"/>
        <v>2715.5</v>
      </c>
      <c r="J42" s="5">
        <f t="shared" si="28"/>
        <v>3079.7</v>
      </c>
      <c r="K42" s="5">
        <f t="shared" si="29"/>
        <v>3351</v>
      </c>
      <c r="L42" s="5">
        <f t="shared" si="30"/>
        <v>3531.9</v>
      </c>
      <c r="M42" s="5">
        <f t="shared" si="31"/>
        <v>3637.7</v>
      </c>
      <c r="N42" s="5">
        <f t="shared" si="32"/>
        <v>3692.4</v>
      </c>
      <c r="O42" s="5">
        <f t="shared" si="33"/>
        <v>3716.4</v>
      </c>
      <c r="P42" s="5">
        <f t="shared" si="34"/>
        <v>3722.4</v>
      </c>
      <c r="Q42" s="5">
        <f t="shared" si="35"/>
        <v>3717.3</v>
      </c>
      <c r="R42" s="5">
        <f t="shared" si="36"/>
        <v>3705.4</v>
      </c>
      <c r="S42" s="5">
        <f t="shared" si="37"/>
        <v>3689</v>
      </c>
      <c r="T42" s="5">
        <f t="shared" si="38"/>
        <v>3669.4</v>
      </c>
      <c r="U42" s="21">
        <f t="shared" si="39"/>
        <v>3647.8</v>
      </c>
    </row>
    <row r="43" spans="1:21" x14ac:dyDescent="0.3">
      <c r="A43" s="17">
        <v>90</v>
      </c>
      <c r="B43" s="17">
        <f t="shared" si="20"/>
        <v>1084.9000000000001</v>
      </c>
      <c r="C43" s="5">
        <f t="shared" si="21"/>
        <v>1251.5999999999999</v>
      </c>
      <c r="D43" s="5">
        <f t="shared" si="22"/>
        <v>1362.6</v>
      </c>
      <c r="E43" s="5">
        <f t="shared" si="23"/>
        <v>1466.5</v>
      </c>
      <c r="F43" s="5">
        <f t="shared" si="24"/>
        <v>1584.8</v>
      </c>
      <c r="G43" s="5">
        <f t="shared" si="25"/>
        <v>1766.7</v>
      </c>
      <c r="H43" s="5">
        <f t="shared" si="26"/>
        <v>2264.3000000000002</v>
      </c>
      <c r="I43" s="5">
        <f t="shared" si="27"/>
        <v>2716.8</v>
      </c>
      <c r="J43" s="5">
        <f t="shared" si="28"/>
        <v>3083.7</v>
      </c>
      <c r="K43" s="5">
        <f t="shared" si="29"/>
        <v>3358.9</v>
      </c>
      <c r="L43" s="5">
        <f t="shared" si="30"/>
        <v>3543.8</v>
      </c>
      <c r="M43" s="5">
        <f t="shared" si="31"/>
        <v>3652.8</v>
      </c>
      <c r="N43" s="5">
        <f t="shared" si="32"/>
        <v>3709.4</v>
      </c>
      <c r="O43" s="5">
        <f t="shared" si="33"/>
        <v>3734.4</v>
      </c>
      <c r="P43" s="5">
        <f t="shared" si="34"/>
        <v>3740.7</v>
      </c>
      <c r="Q43" s="5">
        <f t="shared" si="35"/>
        <v>3735.8</v>
      </c>
      <c r="R43" s="5">
        <f t="shared" si="36"/>
        <v>3723.8</v>
      </c>
      <c r="S43" s="5">
        <f t="shared" si="37"/>
        <v>3707.1</v>
      </c>
      <c r="T43" s="5">
        <f t="shared" si="38"/>
        <v>3687.2</v>
      </c>
      <c r="U43" s="21">
        <f t="shared" si="39"/>
        <v>3665.2</v>
      </c>
    </row>
    <row r="44" spans="1:21" x14ac:dyDescent="0.3">
      <c r="A44" s="18">
        <v>100</v>
      </c>
      <c r="B44" s="18">
        <f t="shared" si="20"/>
        <v>1090.4000000000001</v>
      </c>
      <c r="C44" s="14">
        <f t="shared" si="21"/>
        <v>1259.4000000000001</v>
      </c>
      <c r="D44" s="14">
        <f t="shared" si="22"/>
        <v>1371.5</v>
      </c>
      <c r="E44" s="14">
        <f t="shared" si="23"/>
        <v>1475.7</v>
      </c>
      <c r="F44" s="14">
        <f t="shared" si="24"/>
        <v>1593.2</v>
      </c>
      <c r="G44" s="14">
        <f t="shared" si="25"/>
        <v>1771.5</v>
      </c>
      <c r="H44" s="14">
        <f t="shared" si="26"/>
        <v>2264.5</v>
      </c>
      <c r="I44" s="14">
        <f t="shared" si="27"/>
        <v>2717.9</v>
      </c>
      <c r="J44" s="14">
        <f t="shared" si="28"/>
        <v>3087.1</v>
      </c>
      <c r="K44" s="14">
        <f t="shared" si="29"/>
        <v>3365.8</v>
      </c>
      <c r="L44" s="14">
        <f t="shared" si="30"/>
        <v>3554.4</v>
      </c>
      <c r="M44" s="14">
        <f t="shared" si="31"/>
        <v>3666.2</v>
      </c>
      <c r="N44" s="14">
        <f t="shared" si="32"/>
        <v>3724.6</v>
      </c>
      <c r="O44" s="14">
        <f t="shared" si="33"/>
        <v>3750.5</v>
      </c>
      <c r="P44" s="14">
        <f t="shared" si="34"/>
        <v>3757.2</v>
      </c>
      <c r="Q44" s="14">
        <f t="shared" si="35"/>
        <v>3752.4</v>
      </c>
      <c r="R44" s="14">
        <f t="shared" si="36"/>
        <v>3740.2</v>
      </c>
      <c r="S44" s="14">
        <f t="shared" si="37"/>
        <v>3723.3</v>
      </c>
      <c r="T44" s="14">
        <f t="shared" si="38"/>
        <v>3703.2</v>
      </c>
      <c r="U44" s="22">
        <f t="shared" si="39"/>
        <v>3680.8</v>
      </c>
    </row>
    <row r="45" spans="1:21" x14ac:dyDescent="0.3">
      <c r="I45" s="2"/>
    </row>
    <row r="46" spans="1:21" x14ac:dyDescent="0.3">
      <c r="I46" s="2"/>
    </row>
    <row r="47" spans="1:21" x14ac:dyDescent="0.3">
      <c r="I47" s="2"/>
    </row>
    <row r="48" spans="1:21" x14ac:dyDescent="0.3">
      <c r="I48" s="2"/>
    </row>
    <row r="49" spans="9:9" x14ac:dyDescent="0.3">
      <c r="I49" s="2"/>
    </row>
    <row r="50" spans="9:9" x14ac:dyDescent="0.3">
      <c r="I50" s="2"/>
    </row>
    <row r="51" spans="9:9" x14ac:dyDescent="0.3">
      <c r="I51" s="2"/>
    </row>
    <row r="52" spans="9:9" x14ac:dyDescent="0.3">
      <c r="I52" s="2"/>
    </row>
    <row r="53" spans="9:9" x14ac:dyDescent="0.3">
      <c r="I53" s="2"/>
    </row>
    <row r="54" spans="9:9" x14ac:dyDescent="0.3">
      <c r="I54" s="2"/>
    </row>
    <row r="55" spans="9:9" x14ac:dyDescent="0.3">
      <c r="I55" s="2"/>
    </row>
    <row r="56" spans="9:9" x14ac:dyDescent="0.3">
      <c r="I56" s="2"/>
    </row>
    <row r="57" spans="9:9" x14ac:dyDescent="0.3">
      <c r="I57" s="2"/>
    </row>
    <row r="58" spans="9:9" x14ac:dyDescent="0.3">
      <c r="I58" s="2"/>
    </row>
    <row r="59" spans="9:9" x14ac:dyDescent="0.3">
      <c r="I59" s="2"/>
    </row>
    <row r="60" spans="9:9" x14ac:dyDescent="0.3">
      <c r="I60" s="2"/>
    </row>
    <row r="61" spans="9:9" x14ac:dyDescent="0.3">
      <c r="I61" s="2"/>
    </row>
    <row r="62" spans="9:9" x14ac:dyDescent="0.3">
      <c r="I62" s="2"/>
    </row>
    <row r="63" spans="9:9" x14ac:dyDescent="0.3">
      <c r="I63" s="2"/>
    </row>
    <row r="64" spans="9:9" x14ac:dyDescent="0.3">
      <c r="I64" s="2"/>
    </row>
    <row r="65" spans="1:21" ht="23.4" x14ac:dyDescent="0.45">
      <c r="A65" s="39" t="s">
        <v>68</v>
      </c>
      <c r="I65" s="2"/>
    </row>
    <row r="66" spans="1:21" x14ac:dyDescent="0.3">
      <c r="A66" s="16" t="s">
        <v>26</v>
      </c>
      <c r="B66" s="20" t="s">
        <v>34</v>
      </c>
      <c r="I66" s="2"/>
    </row>
    <row r="67" spans="1:21" x14ac:dyDescent="0.3">
      <c r="A67" s="16"/>
      <c r="B67" s="7">
        <v>0.2</v>
      </c>
      <c r="C67" s="8">
        <v>0.4</v>
      </c>
      <c r="D67" s="8">
        <v>0.6</v>
      </c>
      <c r="E67" s="8">
        <v>0.8</v>
      </c>
      <c r="F67" s="8">
        <v>1</v>
      </c>
      <c r="G67" s="8">
        <v>1.2</v>
      </c>
      <c r="H67" s="8">
        <v>1.4</v>
      </c>
      <c r="I67" s="8">
        <v>1.6</v>
      </c>
      <c r="J67" s="8">
        <v>1.8</v>
      </c>
      <c r="K67" s="8">
        <v>2</v>
      </c>
      <c r="L67" s="8">
        <v>2.2000000000000002</v>
      </c>
      <c r="M67" s="8">
        <v>2.4</v>
      </c>
      <c r="N67" s="8">
        <v>2.6</v>
      </c>
      <c r="O67" s="8">
        <v>2.8</v>
      </c>
      <c r="P67" s="8">
        <v>3</v>
      </c>
      <c r="Q67" s="8">
        <v>3.2</v>
      </c>
      <c r="R67" s="8">
        <v>3.4</v>
      </c>
      <c r="S67" s="8">
        <v>3.6</v>
      </c>
      <c r="T67" s="8">
        <v>3.8</v>
      </c>
      <c r="U67" s="9">
        <v>4</v>
      </c>
    </row>
    <row r="68" spans="1:21" x14ac:dyDescent="0.3">
      <c r="A68" s="17">
        <v>10</v>
      </c>
      <c r="B68" s="68">
        <f>C101</f>
        <v>1.1203000000000001</v>
      </c>
      <c r="C68" s="69">
        <f>C111</f>
        <v>1.1327</v>
      </c>
      <c r="D68" s="69">
        <f>C121</f>
        <v>1.1584000000000001</v>
      </c>
      <c r="E68" s="69">
        <f>C131</f>
        <v>1.2023999999999999</v>
      </c>
      <c r="F68" s="69">
        <f>C141</f>
        <v>1.2673000000000001</v>
      </c>
      <c r="G68" s="69">
        <f>C151</f>
        <v>1.3089</v>
      </c>
      <c r="H68" s="69">
        <f>C161</f>
        <v>1.2661</v>
      </c>
      <c r="I68" s="69">
        <f>C171</f>
        <v>1.2194</v>
      </c>
      <c r="J68" s="69">
        <f>C181</f>
        <v>1.1808000000000001</v>
      </c>
      <c r="K68" s="69">
        <f>C191</f>
        <v>1.1545000000000001</v>
      </c>
      <c r="L68" s="69">
        <f>C201</f>
        <v>1.1389</v>
      </c>
      <c r="M68" s="69">
        <f>C211</f>
        <v>1.1307</v>
      </c>
      <c r="N68" s="69">
        <f>C221</f>
        <v>1.1264000000000001</v>
      </c>
      <c r="O68" s="69">
        <f>C231</f>
        <v>1.1238999999999999</v>
      </c>
      <c r="P68" s="69">
        <f>C241</f>
        <v>1.1224000000000001</v>
      </c>
      <c r="Q68" s="69">
        <f>C251</f>
        <v>1.1214</v>
      </c>
      <c r="R68" s="69">
        <f>C261</f>
        <v>1.1207</v>
      </c>
      <c r="S68" s="69">
        <f>C271</f>
        <v>1.1203000000000001</v>
      </c>
      <c r="T68" s="69">
        <f>C281</f>
        <v>1.1198999999999999</v>
      </c>
      <c r="U68" s="70">
        <f>C291</f>
        <v>1.1197999999999999</v>
      </c>
    </row>
    <row r="69" spans="1:21" x14ac:dyDescent="0.3">
      <c r="A69" s="17">
        <v>20</v>
      </c>
      <c r="B69" s="71">
        <f t="shared" ref="B69:B77" si="40">C102</f>
        <v>1.1187</v>
      </c>
      <c r="C69" s="42">
        <f t="shared" ref="C69:C77" si="41">C112</f>
        <v>1.1335</v>
      </c>
      <c r="D69" s="42">
        <f t="shared" ref="D69:D77" si="42">C122</f>
        <v>1.1593</v>
      </c>
      <c r="E69" s="42">
        <f t="shared" ref="E69:E77" si="43">C132</f>
        <v>1.1983999999999999</v>
      </c>
      <c r="F69" s="42">
        <f t="shared" ref="F69:F77" si="44">C142</f>
        <v>1.2548999999999999</v>
      </c>
      <c r="G69" s="42">
        <f t="shared" ref="G69:G77" si="45">C152</f>
        <v>1.3069999999999999</v>
      </c>
      <c r="H69" s="42">
        <f t="shared" ref="H69:H77" si="46">C162</f>
        <v>1.2690999999999999</v>
      </c>
      <c r="I69" s="42">
        <f t="shared" ref="I69:I77" si="47">C172</f>
        <v>1.2267999999999999</v>
      </c>
      <c r="J69" s="42">
        <f t="shared" ref="J69:J77" si="48">C182</f>
        <v>1.1893</v>
      </c>
      <c r="K69" s="42">
        <f t="shared" ref="K69:K77" si="49">C192</f>
        <v>1.1617999999999999</v>
      </c>
      <c r="L69" s="42">
        <f t="shared" ref="L69:L77" si="50">C202</f>
        <v>1.1444000000000001</v>
      </c>
      <c r="M69" s="42">
        <f t="shared" ref="M69:M77" si="51">C212</f>
        <v>1.135</v>
      </c>
      <c r="N69" s="42">
        <f t="shared" ref="N69:N77" si="52">C222</f>
        <v>1.1301000000000001</v>
      </c>
      <c r="O69" s="42">
        <f t="shared" ref="O69:O77" si="53">C232</f>
        <v>1.1274</v>
      </c>
      <c r="P69" s="42">
        <f t="shared" ref="P69:P77" si="54">C242</f>
        <v>1.1256999999999999</v>
      </c>
      <c r="Q69" s="42">
        <f t="shared" ref="Q69:Q77" si="55">C252</f>
        <v>1.1246</v>
      </c>
      <c r="R69" s="42">
        <f t="shared" ref="R69:R77" si="56">C262</f>
        <v>1.1238999999999999</v>
      </c>
      <c r="S69" s="42">
        <f t="shared" ref="S69:S77" si="57">C272</f>
        <v>1.1234</v>
      </c>
      <c r="T69" s="42">
        <f t="shared" ref="T69:T77" si="58">C282</f>
        <v>1.123</v>
      </c>
      <c r="U69" s="72">
        <f t="shared" ref="U69:U77" si="59">C292</f>
        <v>1.1229</v>
      </c>
    </row>
    <row r="70" spans="1:21" x14ac:dyDescent="0.3">
      <c r="A70" s="17">
        <v>30</v>
      </c>
      <c r="B70" s="71">
        <f t="shared" si="40"/>
        <v>1.1175999999999999</v>
      </c>
      <c r="C70" s="42">
        <f t="shared" si="41"/>
        <v>1.1335</v>
      </c>
      <c r="D70" s="42">
        <f t="shared" si="42"/>
        <v>1.1596</v>
      </c>
      <c r="E70" s="42">
        <f t="shared" si="43"/>
        <v>1.1966000000000001</v>
      </c>
      <c r="F70" s="42">
        <f t="shared" si="44"/>
        <v>1.2484</v>
      </c>
      <c r="G70" s="42">
        <f t="shared" si="45"/>
        <v>1.3042</v>
      </c>
      <c r="H70" s="42">
        <f t="shared" si="46"/>
        <v>1.2705</v>
      </c>
      <c r="I70" s="42">
        <f t="shared" si="47"/>
        <v>1.2305999999999999</v>
      </c>
      <c r="J70" s="42">
        <f t="shared" si="48"/>
        <v>1.1940999999999999</v>
      </c>
      <c r="K70" s="42">
        <f t="shared" si="49"/>
        <v>1.1661999999999999</v>
      </c>
      <c r="L70" s="42">
        <f t="shared" si="50"/>
        <v>1.1478999999999999</v>
      </c>
      <c r="M70" s="42">
        <f t="shared" si="51"/>
        <v>1.1376999999999999</v>
      </c>
      <c r="N70" s="42">
        <f t="shared" si="52"/>
        <v>1.1323000000000001</v>
      </c>
      <c r="O70" s="42">
        <f t="shared" si="53"/>
        <v>1.1294</v>
      </c>
      <c r="P70" s="42">
        <f t="shared" si="54"/>
        <v>1.1275999999999999</v>
      </c>
      <c r="Q70" s="42">
        <f t="shared" si="55"/>
        <v>1.1264000000000001</v>
      </c>
      <c r="R70" s="42">
        <f t="shared" si="56"/>
        <v>1.1256999999999999</v>
      </c>
      <c r="S70" s="42">
        <f t="shared" si="57"/>
        <v>1.1252</v>
      </c>
      <c r="T70" s="42">
        <f t="shared" si="58"/>
        <v>1.1248</v>
      </c>
      <c r="U70" s="72">
        <f t="shared" si="59"/>
        <v>1.1247</v>
      </c>
    </row>
    <row r="71" spans="1:21" x14ac:dyDescent="0.3">
      <c r="A71" s="17">
        <v>40</v>
      </c>
      <c r="B71" s="71">
        <f t="shared" si="40"/>
        <v>1.1167</v>
      </c>
      <c r="C71" s="42">
        <f t="shared" si="41"/>
        <v>1.1334</v>
      </c>
      <c r="D71" s="42">
        <f t="shared" si="42"/>
        <v>1.1596</v>
      </c>
      <c r="E71" s="42">
        <f t="shared" si="43"/>
        <v>1.1955</v>
      </c>
      <c r="F71" s="42">
        <f t="shared" si="44"/>
        <v>1.2442</v>
      </c>
      <c r="G71" s="42">
        <f t="shared" si="45"/>
        <v>1.3010999999999999</v>
      </c>
      <c r="H71" s="42">
        <f t="shared" si="46"/>
        <v>1.2714000000000001</v>
      </c>
      <c r="I71" s="42">
        <f t="shared" si="47"/>
        <v>1.2331000000000001</v>
      </c>
      <c r="J71" s="42">
        <f t="shared" si="48"/>
        <v>1.1974</v>
      </c>
      <c r="K71" s="42">
        <f t="shared" si="49"/>
        <v>1.1693</v>
      </c>
      <c r="L71" s="42">
        <f t="shared" si="50"/>
        <v>1.1504000000000001</v>
      </c>
      <c r="M71" s="42">
        <f t="shared" si="51"/>
        <v>1.1395999999999999</v>
      </c>
      <c r="N71" s="42">
        <f t="shared" si="52"/>
        <v>1.1338999999999999</v>
      </c>
      <c r="O71" s="42">
        <f t="shared" si="53"/>
        <v>1.1308</v>
      </c>
      <c r="P71" s="42">
        <f t="shared" si="54"/>
        <v>1.1289</v>
      </c>
      <c r="Q71" s="42">
        <f t="shared" si="55"/>
        <v>1.1276999999999999</v>
      </c>
      <c r="R71" s="42">
        <f t="shared" si="56"/>
        <v>1.127</v>
      </c>
      <c r="S71" s="42">
        <f t="shared" si="57"/>
        <v>1.1264000000000001</v>
      </c>
      <c r="T71" s="42">
        <f t="shared" si="58"/>
        <v>1.1261000000000001</v>
      </c>
      <c r="U71" s="72">
        <f t="shared" si="59"/>
        <v>1.1258999999999999</v>
      </c>
    </row>
    <row r="72" spans="1:21" x14ac:dyDescent="0.3">
      <c r="A72" s="17">
        <v>50</v>
      </c>
      <c r="B72" s="71">
        <f t="shared" si="40"/>
        <v>1.1160000000000001</v>
      </c>
      <c r="C72" s="42">
        <f t="shared" si="41"/>
        <v>1.1332</v>
      </c>
      <c r="D72" s="42">
        <f t="shared" si="42"/>
        <v>1.1595</v>
      </c>
      <c r="E72" s="42">
        <f t="shared" si="43"/>
        <v>1.1946000000000001</v>
      </c>
      <c r="F72" s="42">
        <f t="shared" si="44"/>
        <v>1.2412000000000001</v>
      </c>
      <c r="G72" s="42">
        <f t="shared" si="45"/>
        <v>1.2981</v>
      </c>
      <c r="H72" s="42">
        <f t="shared" si="46"/>
        <v>1.272</v>
      </c>
      <c r="I72" s="42">
        <f t="shared" si="47"/>
        <v>1.2349000000000001</v>
      </c>
      <c r="J72" s="42">
        <f t="shared" si="48"/>
        <v>1.1999</v>
      </c>
      <c r="K72" s="42">
        <f t="shared" si="49"/>
        <v>1.1718</v>
      </c>
      <c r="L72" s="42">
        <f t="shared" si="50"/>
        <v>1.1523000000000001</v>
      </c>
      <c r="M72" s="42">
        <f t="shared" si="51"/>
        <v>1.1411</v>
      </c>
      <c r="N72" s="42">
        <f t="shared" si="52"/>
        <v>1.1352</v>
      </c>
      <c r="O72" s="42">
        <f t="shared" si="53"/>
        <v>1.1318999999999999</v>
      </c>
      <c r="P72" s="42">
        <f t="shared" si="54"/>
        <v>1.1299999999999999</v>
      </c>
      <c r="Q72" s="42">
        <f t="shared" si="55"/>
        <v>1.1287</v>
      </c>
      <c r="R72" s="42">
        <f t="shared" si="56"/>
        <v>1.1278999999999999</v>
      </c>
      <c r="S72" s="42">
        <f t="shared" si="57"/>
        <v>1.1274</v>
      </c>
      <c r="T72" s="42">
        <f t="shared" si="58"/>
        <v>1.1271</v>
      </c>
      <c r="U72" s="72">
        <f t="shared" si="59"/>
        <v>1.1269</v>
      </c>
    </row>
    <row r="73" spans="1:21" x14ac:dyDescent="0.3">
      <c r="A73" s="17">
        <v>60</v>
      </c>
      <c r="B73" s="71">
        <f t="shared" si="40"/>
        <v>1.1153</v>
      </c>
      <c r="C73" s="42">
        <f t="shared" si="41"/>
        <v>1.1329</v>
      </c>
      <c r="D73" s="42">
        <f t="shared" si="42"/>
        <v>1.1594</v>
      </c>
      <c r="E73" s="42">
        <f t="shared" si="43"/>
        <v>1.1939</v>
      </c>
      <c r="F73" s="42">
        <f t="shared" si="44"/>
        <v>1.2388999999999999</v>
      </c>
      <c r="G73" s="42">
        <f t="shared" si="45"/>
        <v>1.2951999999999999</v>
      </c>
      <c r="H73" s="42">
        <f t="shared" si="46"/>
        <v>1.2724</v>
      </c>
      <c r="I73" s="42">
        <f t="shared" si="47"/>
        <v>1.2362</v>
      </c>
      <c r="J73" s="42">
        <f t="shared" si="48"/>
        <v>1.2019</v>
      </c>
      <c r="K73" s="42">
        <f t="shared" si="49"/>
        <v>1.1738</v>
      </c>
      <c r="L73" s="42">
        <f t="shared" si="50"/>
        <v>1.1539999999999999</v>
      </c>
      <c r="M73" s="42">
        <f t="shared" si="51"/>
        <v>1.1424000000000001</v>
      </c>
      <c r="N73" s="42">
        <f t="shared" si="52"/>
        <v>1.1362000000000001</v>
      </c>
      <c r="O73" s="42">
        <f t="shared" si="53"/>
        <v>1.1328</v>
      </c>
      <c r="P73" s="42">
        <f t="shared" si="54"/>
        <v>1.1308</v>
      </c>
      <c r="Q73" s="42">
        <f t="shared" si="55"/>
        <v>1.1294999999999999</v>
      </c>
      <c r="R73" s="42">
        <f t="shared" si="56"/>
        <v>1.1287</v>
      </c>
      <c r="S73" s="42">
        <f t="shared" si="57"/>
        <v>1.1282000000000001</v>
      </c>
      <c r="T73" s="42">
        <f t="shared" si="58"/>
        <v>1.1278999999999999</v>
      </c>
      <c r="U73" s="72">
        <f t="shared" si="59"/>
        <v>1.1276999999999999</v>
      </c>
    </row>
    <row r="74" spans="1:21" x14ac:dyDescent="0.3">
      <c r="A74" s="17">
        <v>70</v>
      </c>
      <c r="B74" s="71">
        <f t="shared" si="40"/>
        <v>1.1147</v>
      </c>
      <c r="C74" s="42">
        <f t="shared" si="41"/>
        <v>1.1327</v>
      </c>
      <c r="D74" s="42">
        <f t="shared" si="42"/>
        <v>1.1593</v>
      </c>
      <c r="E74" s="42">
        <f t="shared" si="43"/>
        <v>1.1933</v>
      </c>
      <c r="F74" s="42">
        <f t="shared" si="44"/>
        <v>1.2370000000000001</v>
      </c>
      <c r="G74" s="42">
        <f t="shared" si="45"/>
        <v>1.2926</v>
      </c>
      <c r="H74" s="42">
        <f t="shared" si="46"/>
        <v>1.2726999999999999</v>
      </c>
      <c r="I74" s="42">
        <f t="shared" si="47"/>
        <v>1.2373000000000001</v>
      </c>
      <c r="J74" s="42">
        <f t="shared" si="48"/>
        <v>1.2035</v>
      </c>
      <c r="K74" s="42">
        <f t="shared" si="49"/>
        <v>1.1755</v>
      </c>
      <c r="L74" s="42">
        <f t="shared" si="50"/>
        <v>1.1554</v>
      </c>
      <c r="M74" s="42">
        <f t="shared" si="51"/>
        <v>1.1434</v>
      </c>
      <c r="N74" s="42">
        <f t="shared" si="52"/>
        <v>1.137</v>
      </c>
      <c r="O74" s="42">
        <f t="shared" si="53"/>
        <v>1.1335</v>
      </c>
      <c r="P74" s="42">
        <f t="shared" si="54"/>
        <v>1.1315</v>
      </c>
      <c r="Q74" s="42">
        <f t="shared" si="55"/>
        <v>1.1302000000000001</v>
      </c>
      <c r="R74" s="42">
        <f t="shared" si="56"/>
        <v>1.1294</v>
      </c>
      <c r="S74" s="42">
        <f t="shared" si="57"/>
        <v>1.1289</v>
      </c>
      <c r="T74" s="42">
        <f t="shared" si="58"/>
        <v>1.1286</v>
      </c>
      <c r="U74" s="72">
        <f t="shared" si="59"/>
        <v>1.1284000000000001</v>
      </c>
    </row>
    <row r="75" spans="1:21" x14ac:dyDescent="0.3">
      <c r="A75" s="17">
        <v>80</v>
      </c>
      <c r="B75" s="71">
        <f t="shared" si="40"/>
        <v>1.1142000000000001</v>
      </c>
      <c r="C75" s="42">
        <f t="shared" si="41"/>
        <v>1.1324000000000001</v>
      </c>
      <c r="D75" s="42">
        <f t="shared" si="42"/>
        <v>1.1591</v>
      </c>
      <c r="E75" s="42">
        <f t="shared" si="43"/>
        <v>1.1927000000000001</v>
      </c>
      <c r="F75" s="42">
        <f t="shared" si="44"/>
        <v>1.2355</v>
      </c>
      <c r="G75" s="42">
        <f t="shared" si="45"/>
        <v>1.2903</v>
      </c>
      <c r="H75" s="42">
        <f t="shared" si="46"/>
        <v>1.2729999999999999</v>
      </c>
      <c r="I75" s="42">
        <f t="shared" si="47"/>
        <v>1.2382</v>
      </c>
      <c r="J75" s="42">
        <f t="shared" si="48"/>
        <v>1.2049000000000001</v>
      </c>
      <c r="K75" s="42">
        <f t="shared" si="49"/>
        <v>1.1769000000000001</v>
      </c>
      <c r="L75" s="42">
        <f t="shared" si="50"/>
        <v>1.1566000000000001</v>
      </c>
      <c r="M75" s="42">
        <f t="shared" si="51"/>
        <v>1.1444000000000001</v>
      </c>
      <c r="N75" s="42">
        <f t="shared" si="52"/>
        <v>1.1377999999999999</v>
      </c>
      <c r="O75" s="42">
        <f t="shared" si="53"/>
        <v>1.1342000000000001</v>
      </c>
      <c r="P75" s="42">
        <f t="shared" si="54"/>
        <v>1.1321000000000001</v>
      </c>
      <c r="Q75" s="42">
        <f t="shared" si="55"/>
        <v>1.1308</v>
      </c>
      <c r="R75" s="42">
        <f t="shared" si="56"/>
        <v>1.1299999999999999</v>
      </c>
      <c r="S75" s="42">
        <f t="shared" si="57"/>
        <v>1.1294</v>
      </c>
      <c r="T75" s="42">
        <f t="shared" si="58"/>
        <v>1.1291</v>
      </c>
      <c r="U75" s="72">
        <f t="shared" si="59"/>
        <v>1.129</v>
      </c>
    </row>
    <row r="76" spans="1:21" x14ac:dyDescent="0.3">
      <c r="A76" s="17">
        <v>90</v>
      </c>
      <c r="B76" s="71">
        <f t="shared" si="40"/>
        <v>1.1136999999999999</v>
      </c>
      <c r="C76" s="42">
        <f t="shared" si="41"/>
        <v>1.1322000000000001</v>
      </c>
      <c r="D76" s="42">
        <f t="shared" si="42"/>
        <v>1.1589</v>
      </c>
      <c r="E76" s="42">
        <f t="shared" si="43"/>
        <v>1.1922999999999999</v>
      </c>
      <c r="F76" s="42">
        <f t="shared" si="44"/>
        <v>1.2341</v>
      </c>
      <c r="G76" s="42">
        <f t="shared" si="45"/>
        <v>1.2882</v>
      </c>
      <c r="H76" s="42">
        <f t="shared" si="46"/>
        <v>1.2732000000000001</v>
      </c>
      <c r="I76" s="42">
        <f t="shared" si="47"/>
        <v>1.2390000000000001</v>
      </c>
      <c r="J76" s="42">
        <f t="shared" si="48"/>
        <v>1.2060999999999999</v>
      </c>
      <c r="K76" s="42">
        <f t="shared" si="49"/>
        <v>1.1781999999999999</v>
      </c>
      <c r="L76" s="42">
        <f t="shared" si="50"/>
        <v>1.1577</v>
      </c>
      <c r="M76" s="42">
        <f t="shared" si="51"/>
        <v>1.1452</v>
      </c>
      <c r="N76" s="42">
        <f t="shared" si="52"/>
        <v>1.1384000000000001</v>
      </c>
      <c r="O76" s="42">
        <f t="shared" si="53"/>
        <v>1.1348</v>
      </c>
      <c r="P76" s="42">
        <f t="shared" si="54"/>
        <v>1.1326000000000001</v>
      </c>
      <c r="Q76" s="42">
        <f t="shared" si="55"/>
        <v>1.1313</v>
      </c>
      <c r="R76" s="42">
        <f t="shared" si="56"/>
        <v>1.1305000000000001</v>
      </c>
      <c r="S76" s="42">
        <f t="shared" si="57"/>
        <v>1.1298999999999999</v>
      </c>
      <c r="T76" s="42">
        <f t="shared" si="58"/>
        <v>1.1295999999999999</v>
      </c>
      <c r="U76" s="72">
        <f t="shared" si="59"/>
        <v>1.1294999999999999</v>
      </c>
    </row>
    <row r="77" spans="1:21" x14ac:dyDescent="0.3">
      <c r="A77" s="18">
        <v>100</v>
      </c>
      <c r="B77" s="73">
        <f t="shared" si="40"/>
        <v>1.1133</v>
      </c>
      <c r="C77" s="36">
        <f t="shared" si="41"/>
        <v>1.1318999999999999</v>
      </c>
      <c r="D77" s="36">
        <f t="shared" si="42"/>
        <v>1.1587000000000001</v>
      </c>
      <c r="E77" s="36">
        <f t="shared" si="43"/>
        <v>1.1918</v>
      </c>
      <c r="F77" s="36">
        <f t="shared" si="44"/>
        <v>1.2330000000000001</v>
      </c>
      <c r="G77" s="36">
        <f t="shared" si="45"/>
        <v>1.2863</v>
      </c>
      <c r="H77" s="36">
        <f t="shared" si="46"/>
        <v>1.2734000000000001</v>
      </c>
      <c r="I77" s="36">
        <f t="shared" si="47"/>
        <v>1.2396</v>
      </c>
      <c r="J77" s="36">
        <f t="shared" si="48"/>
        <v>1.2071000000000001</v>
      </c>
      <c r="K77" s="36">
        <f t="shared" si="49"/>
        <v>1.1793</v>
      </c>
      <c r="L77" s="36">
        <f t="shared" si="50"/>
        <v>1.1586000000000001</v>
      </c>
      <c r="M77" s="36">
        <f t="shared" si="51"/>
        <v>1.1458999999999999</v>
      </c>
      <c r="N77" s="36">
        <f t="shared" si="52"/>
        <v>1.139</v>
      </c>
      <c r="O77" s="36">
        <f t="shared" si="53"/>
        <v>1.1353</v>
      </c>
      <c r="P77" s="36">
        <f t="shared" si="54"/>
        <v>1.1331</v>
      </c>
      <c r="Q77" s="36">
        <f t="shared" si="55"/>
        <v>1.1317999999999999</v>
      </c>
      <c r="R77" s="36">
        <f t="shared" si="56"/>
        <v>1.1309</v>
      </c>
      <c r="S77" s="36">
        <f t="shared" si="57"/>
        <v>1.1304000000000001</v>
      </c>
      <c r="T77" s="36">
        <f t="shared" si="58"/>
        <v>1.1301000000000001</v>
      </c>
      <c r="U77" s="74">
        <f t="shared" si="59"/>
        <v>1.1298999999999999</v>
      </c>
    </row>
    <row r="78" spans="1:21" x14ac:dyDescent="0.3">
      <c r="I78" s="2"/>
    </row>
    <row r="79" spans="1:21" x14ac:dyDescent="0.3">
      <c r="I79" s="2"/>
    </row>
    <row r="80" spans="1:21" x14ac:dyDescent="0.3">
      <c r="I80" s="2"/>
    </row>
    <row r="81" spans="9:9" x14ac:dyDescent="0.3">
      <c r="I81" s="2"/>
    </row>
    <row r="82" spans="9:9" x14ac:dyDescent="0.3">
      <c r="I82" s="2"/>
    </row>
    <row r="83" spans="9:9" x14ac:dyDescent="0.3">
      <c r="I83" s="2"/>
    </row>
    <row r="84" spans="9:9" x14ac:dyDescent="0.3">
      <c r="I84" s="2"/>
    </row>
    <row r="85" spans="9:9" x14ac:dyDescent="0.3">
      <c r="I85" s="2"/>
    </row>
    <row r="86" spans="9:9" x14ac:dyDescent="0.3">
      <c r="I86" s="2"/>
    </row>
    <row r="87" spans="9:9" x14ac:dyDescent="0.3">
      <c r="I87" s="2"/>
    </row>
    <row r="88" spans="9:9" x14ac:dyDescent="0.3">
      <c r="I88" s="2"/>
    </row>
    <row r="89" spans="9:9" x14ac:dyDescent="0.3">
      <c r="I89" s="2"/>
    </row>
    <row r="90" spans="9:9" x14ac:dyDescent="0.3">
      <c r="I90" s="2"/>
    </row>
    <row r="91" spans="9:9" x14ac:dyDescent="0.3">
      <c r="I91" s="2"/>
    </row>
    <row r="92" spans="9:9" x14ac:dyDescent="0.3">
      <c r="I92" s="2"/>
    </row>
    <row r="93" spans="9:9" x14ac:dyDescent="0.3">
      <c r="I93" s="2"/>
    </row>
    <row r="94" spans="9:9" x14ac:dyDescent="0.3">
      <c r="I94" s="2"/>
    </row>
    <row r="95" spans="9:9" x14ac:dyDescent="0.3">
      <c r="I95" s="2"/>
    </row>
    <row r="96" spans="9:9" x14ac:dyDescent="0.3">
      <c r="I96" s="2"/>
    </row>
    <row r="97" spans="1:16" x14ac:dyDescent="0.3">
      <c r="I97" s="2"/>
    </row>
    <row r="98" spans="1:16" x14ac:dyDescent="0.3">
      <c r="I98" s="2"/>
    </row>
    <row r="99" spans="1:16" s="61" customFormat="1" x14ac:dyDescent="0.3">
      <c r="A99" s="76" t="s">
        <v>31</v>
      </c>
      <c r="B99" s="76"/>
      <c r="C99" s="76"/>
      <c r="D99" s="76"/>
      <c r="E99" s="76"/>
      <c r="F99" s="76"/>
      <c r="G99" s="76"/>
      <c r="H99" s="60"/>
      <c r="I99" s="60"/>
      <c r="J99" s="76" t="s">
        <v>33</v>
      </c>
      <c r="K99" s="76"/>
      <c r="L99" s="76"/>
      <c r="M99" s="76"/>
      <c r="N99" s="76"/>
      <c r="O99" s="76"/>
      <c r="P99" s="76"/>
    </row>
    <row r="100" spans="1:16" s="60" customFormat="1" x14ac:dyDescent="0.3">
      <c r="A100" s="62" t="s">
        <v>26</v>
      </c>
      <c r="B100" s="60" t="s">
        <v>32</v>
      </c>
      <c r="C100" s="60" t="s">
        <v>27</v>
      </c>
      <c r="D100" s="62" t="s">
        <v>28</v>
      </c>
      <c r="E100" s="60" t="s">
        <v>29</v>
      </c>
      <c r="F100" s="62" t="s">
        <v>30</v>
      </c>
      <c r="G100" s="63" t="s">
        <v>66</v>
      </c>
      <c r="J100" s="60" t="s">
        <v>26</v>
      </c>
      <c r="K100" s="60" t="s">
        <v>32</v>
      </c>
      <c r="L100" s="60" t="s">
        <v>27</v>
      </c>
      <c r="M100" s="60" t="s">
        <v>28</v>
      </c>
      <c r="N100" s="60" t="s">
        <v>29</v>
      </c>
    </row>
    <row r="101" spans="1:16" x14ac:dyDescent="0.3">
      <c r="A101" s="5">
        <v>10</v>
      </c>
      <c r="B101" s="2">
        <v>0.2</v>
      </c>
      <c r="C101" s="2">
        <v>1.1203000000000001</v>
      </c>
      <c r="D101" s="5">
        <v>968.98</v>
      </c>
      <c r="E101" s="2">
        <v>11.323</v>
      </c>
      <c r="F101" s="5">
        <f>8.314/E101*1000</f>
        <v>734.25770555506483</v>
      </c>
      <c r="G101" s="3">
        <f>SQRT(F101*D101/C101*((C101+1)/2)^((C101+1)/(C101-1)))</f>
        <v>1333.4148885762704</v>
      </c>
      <c r="I101" s="2"/>
      <c r="J101" s="2">
        <v>5.8042999999999996</v>
      </c>
      <c r="K101" s="2">
        <v>0.2</v>
      </c>
      <c r="L101" s="2">
        <v>1.1204000000000001</v>
      </c>
      <c r="M101" s="2">
        <v>921.78</v>
      </c>
      <c r="N101" s="2">
        <v>11.315</v>
      </c>
    </row>
    <row r="102" spans="1:16" x14ac:dyDescent="0.3">
      <c r="A102" s="5">
        <v>20</v>
      </c>
      <c r="B102" s="2">
        <v>0.2</v>
      </c>
      <c r="C102" s="2">
        <v>1.1187</v>
      </c>
      <c r="D102" s="5">
        <v>1005.2</v>
      </c>
      <c r="E102" s="2">
        <v>11.648999999999999</v>
      </c>
      <c r="F102" s="5">
        <f t="shared" ref="F102:F165" si="60">8.314/E102*1000</f>
        <v>713.70933127307069</v>
      </c>
      <c r="G102" s="3">
        <f t="shared" ref="G102:G165" si="61">SQRT(F102*D102/C102*((C102+1)/2)^((C102+1)/(C102-1)))</f>
        <v>1339.6685634391952</v>
      </c>
      <c r="I102" s="2"/>
      <c r="J102" s="2">
        <v>11.614000000000001</v>
      </c>
      <c r="K102" s="2">
        <v>0.2</v>
      </c>
      <c r="L102" s="2">
        <v>1.1191</v>
      </c>
      <c r="M102" s="2">
        <v>955.65</v>
      </c>
      <c r="N102" s="2">
        <v>11.627000000000001</v>
      </c>
    </row>
    <row r="103" spans="1:16" x14ac:dyDescent="0.3">
      <c r="A103" s="5">
        <v>30</v>
      </c>
      <c r="B103" s="2">
        <v>0.2</v>
      </c>
      <c r="C103" s="2">
        <v>1.1175999999999999</v>
      </c>
      <c r="D103" s="5">
        <v>1026.7</v>
      </c>
      <c r="E103" s="2">
        <v>11.847</v>
      </c>
      <c r="F103" s="5">
        <f t="shared" si="60"/>
        <v>701.7810416139107</v>
      </c>
      <c r="G103" s="3">
        <f t="shared" si="61"/>
        <v>1343.0407656285947</v>
      </c>
      <c r="I103" s="2"/>
      <c r="J103" s="2">
        <v>17.425999999999998</v>
      </c>
      <c r="K103" s="2">
        <v>0.2</v>
      </c>
      <c r="L103" s="2">
        <v>1.1182000000000001</v>
      </c>
      <c r="M103" s="2">
        <v>975.74</v>
      </c>
      <c r="N103" s="2">
        <v>11.816000000000001</v>
      </c>
    </row>
    <row r="104" spans="1:16" x14ac:dyDescent="0.3">
      <c r="A104" s="5">
        <v>40</v>
      </c>
      <c r="B104" s="2">
        <v>0.2</v>
      </c>
      <c r="C104" s="2">
        <v>1.1167</v>
      </c>
      <c r="D104" s="5">
        <v>1042</v>
      </c>
      <c r="E104" s="2">
        <v>11.989000000000001</v>
      </c>
      <c r="F104" s="5">
        <f t="shared" si="60"/>
        <v>693.46901326215698</v>
      </c>
      <c r="G104" s="3">
        <f t="shared" si="61"/>
        <v>1345.3704852752155</v>
      </c>
      <c r="I104" s="2"/>
      <c r="J104" s="2">
        <v>23.241</v>
      </c>
      <c r="K104" s="2">
        <v>0.2</v>
      </c>
      <c r="L104" s="2">
        <v>1.1173999999999999</v>
      </c>
      <c r="M104" s="2">
        <v>990.06</v>
      </c>
      <c r="N104" s="2">
        <v>11.952</v>
      </c>
    </row>
    <row r="105" spans="1:16" x14ac:dyDescent="0.3">
      <c r="A105" s="5">
        <v>50</v>
      </c>
      <c r="B105" s="2">
        <v>0.2</v>
      </c>
      <c r="C105" s="2">
        <v>1.1160000000000001</v>
      </c>
      <c r="D105" s="5">
        <v>1053.8</v>
      </c>
      <c r="E105" s="2">
        <v>12.101000000000001</v>
      </c>
      <c r="F105" s="5">
        <f t="shared" si="60"/>
        <v>687.05065697049827</v>
      </c>
      <c r="G105" s="3">
        <f t="shared" si="61"/>
        <v>1346.9998752972795</v>
      </c>
      <c r="I105" s="2"/>
      <c r="J105" s="2">
        <v>29.058</v>
      </c>
      <c r="K105" s="2">
        <v>0.2</v>
      </c>
      <c r="L105" s="2">
        <v>1.1168</v>
      </c>
      <c r="M105" s="2">
        <v>1001.2</v>
      </c>
      <c r="N105" s="2">
        <v>12.058999999999999</v>
      </c>
    </row>
    <row r="106" spans="1:16" x14ac:dyDescent="0.3">
      <c r="A106" s="5">
        <v>60</v>
      </c>
      <c r="B106" s="2">
        <v>0.2</v>
      </c>
      <c r="C106" s="2">
        <v>1.1153</v>
      </c>
      <c r="D106" s="5">
        <v>1063.5</v>
      </c>
      <c r="E106" s="2">
        <v>12.192</v>
      </c>
      <c r="F106" s="5">
        <f t="shared" si="60"/>
        <v>681.92257217847771</v>
      </c>
      <c r="G106" s="3">
        <f t="shared" si="61"/>
        <v>1348.4349753931124</v>
      </c>
      <c r="I106" s="2"/>
      <c r="J106" s="2">
        <v>34.875999999999998</v>
      </c>
      <c r="K106" s="2">
        <v>0.2</v>
      </c>
      <c r="L106" s="2">
        <v>1.1162000000000001</v>
      </c>
      <c r="M106" s="2">
        <v>1010.3</v>
      </c>
      <c r="N106" s="2">
        <v>12.147</v>
      </c>
    </row>
    <row r="107" spans="1:16" x14ac:dyDescent="0.3">
      <c r="A107" s="5">
        <v>70</v>
      </c>
      <c r="B107" s="2">
        <v>0.2</v>
      </c>
      <c r="C107" s="2">
        <v>1.1147</v>
      </c>
      <c r="D107" s="5">
        <v>1071.7</v>
      </c>
      <c r="E107" s="2">
        <v>12.27</v>
      </c>
      <c r="F107" s="5">
        <f t="shared" si="60"/>
        <v>677.58761206193969</v>
      </c>
      <c r="G107" s="3">
        <f t="shared" si="61"/>
        <v>1349.5797340766626</v>
      </c>
      <c r="I107" s="2"/>
      <c r="J107" s="2">
        <v>40.695999999999998</v>
      </c>
      <c r="K107" s="2">
        <v>0.2</v>
      </c>
      <c r="L107" s="2">
        <v>1.1157999999999999</v>
      </c>
      <c r="M107" s="2">
        <v>1017.9</v>
      </c>
      <c r="N107" s="2">
        <v>12.222</v>
      </c>
    </row>
    <row r="108" spans="1:16" x14ac:dyDescent="0.3">
      <c r="A108" s="5">
        <v>80</v>
      </c>
      <c r="B108" s="2">
        <v>0.2</v>
      </c>
      <c r="C108" s="2">
        <v>1.1142000000000001</v>
      </c>
      <c r="D108" s="5">
        <v>1078.7</v>
      </c>
      <c r="E108" s="2">
        <v>12.337</v>
      </c>
      <c r="F108" s="5">
        <f t="shared" si="60"/>
        <v>673.90775715327879</v>
      </c>
      <c r="G108" s="3">
        <f t="shared" si="61"/>
        <v>1350.5200749357016</v>
      </c>
      <c r="I108" s="2"/>
      <c r="J108" s="2">
        <v>46.517000000000003</v>
      </c>
      <c r="K108" s="2">
        <v>0.2</v>
      </c>
      <c r="L108" s="2">
        <v>1.1153</v>
      </c>
      <c r="M108" s="2">
        <v>1024.5999999999999</v>
      </c>
      <c r="N108" s="2">
        <v>12.286</v>
      </c>
    </row>
    <row r="109" spans="1:16" x14ac:dyDescent="0.3">
      <c r="A109" s="5">
        <v>90</v>
      </c>
      <c r="B109" s="2">
        <v>0.2</v>
      </c>
      <c r="C109" s="2">
        <v>1.1136999999999999</v>
      </c>
      <c r="D109" s="5">
        <v>1084.9000000000001</v>
      </c>
      <c r="E109" s="2">
        <v>12.397</v>
      </c>
      <c r="F109" s="5">
        <f t="shared" si="60"/>
        <v>670.64612406227309</v>
      </c>
      <c r="G109" s="3">
        <f t="shared" si="61"/>
        <v>1351.3360224352982</v>
      </c>
      <c r="I109" s="2"/>
      <c r="J109" s="2">
        <v>52.338999999999999</v>
      </c>
      <c r="K109" s="2">
        <v>0.2</v>
      </c>
      <c r="L109" s="2">
        <v>1.1149</v>
      </c>
      <c r="M109" s="2">
        <v>1030.4000000000001</v>
      </c>
      <c r="N109" s="2">
        <v>12.343</v>
      </c>
    </row>
    <row r="110" spans="1:16" x14ac:dyDescent="0.3">
      <c r="A110" s="5">
        <v>100</v>
      </c>
      <c r="B110" s="2">
        <v>0.2</v>
      </c>
      <c r="C110" s="2">
        <v>1.1133</v>
      </c>
      <c r="D110" s="5">
        <v>1090.4000000000001</v>
      </c>
      <c r="E110" s="2">
        <v>12.45</v>
      </c>
      <c r="F110" s="5">
        <f t="shared" si="60"/>
        <v>667.79116465863456</v>
      </c>
      <c r="G110" s="3">
        <f t="shared" si="61"/>
        <v>1352.048044073229</v>
      </c>
      <c r="I110" s="2"/>
      <c r="J110" s="2">
        <v>58.161000000000001</v>
      </c>
      <c r="K110" s="2">
        <v>0.2</v>
      </c>
      <c r="L110" s="2">
        <v>1.1145</v>
      </c>
      <c r="M110" s="2">
        <v>1035.5999999999999</v>
      </c>
      <c r="N110" s="2">
        <v>12.394</v>
      </c>
    </row>
    <row r="111" spans="1:16" x14ac:dyDescent="0.3">
      <c r="A111" s="5">
        <v>10</v>
      </c>
      <c r="B111" s="2">
        <f>B101+0.2</f>
        <v>0.4</v>
      </c>
      <c r="C111" s="2">
        <v>1.1327</v>
      </c>
      <c r="D111" s="5">
        <v>1101.3</v>
      </c>
      <c r="E111" s="2">
        <v>11.436999999999999</v>
      </c>
      <c r="F111" s="5">
        <f t="shared" si="60"/>
        <v>726.93888257410163</v>
      </c>
      <c r="G111" s="3">
        <f t="shared" si="61"/>
        <v>1408.7735149918719</v>
      </c>
      <c r="I111" s="2"/>
      <c r="J111" s="2">
        <v>5.7908999999999997</v>
      </c>
      <c r="K111" s="2">
        <f>K101+0.2</f>
        <v>0.4</v>
      </c>
      <c r="L111" s="2">
        <v>1.1274999999999999</v>
      </c>
      <c r="M111" s="2">
        <v>1046.8</v>
      </c>
      <c r="N111" s="2">
        <v>11.381</v>
      </c>
    </row>
    <row r="112" spans="1:16" x14ac:dyDescent="0.3">
      <c r="A112" s="5">
        <v>20</v>
      </c>
      <c r="B112" s="2">
        <f t="shared" ref="B112:B175" si="62">B102+0.2</f>
        <v>0.4</v>
      </c>
      <c r="C112" s="2">
        <v>1.1335</v>
      </c>
      <c r="D112" s="5">
        <v>1145.9000000000001</v>
      </c>
      <c r="E112" s="2">
        <v>11.75</v>
      </c>
      <c r="F112" s="5">
        <f t="shared" si="60"/>
        <v>707.57446808510633</v>
      </c>
      <c r="G112" s="3">
        <f t="shared" si="61"/>
        <v>1417.3826998999193</v>
      </c>
      <c r="I112" s="2"/>
      <c r="J112" s="2">
        <v>11.577</v>
      </c>
      <c r="K112" s="2">
        <f t="shared" ref="K112:K175" si="63">K102+0.2</f>
        <v>0.4</v>
      </c>
      <c r="L112" s="2">
        <v>1.1286</v>
      </c>
      <c r="M112" s="2">
        <v>1087.7</v>
      </c>
      <c r="N112" s="2">
        <v>11.679</v>
      </c>
    </row>
    <row r="113" spans="1:14" x14ac:dyDescent="0.3">
      <c r="A113" s="5">
        <v>30</v>
      </c>
      <c r="B113" s="2">
        <f t="shared" si="62"/>
        <v>0.4</v>
      </c>
      <c r="C113" s="2">
        <v>1.1335</v>
      </c>
      <c r="D113" s="5">
        <v>1173.3</v>
      </c>
      <c r="E113" s="2">
        <v>11.95</v>
      </c>
      <c r="F113" s="5">
        <f t="shared" si="60"/>
        <v>695.73221757322176</v>
      </c>
      <c r="G113" s="3">
        <f t="shared" si="61"/>
        <v>1422.1757985431323</v>
      </c>
      <c r="I113" s="2"/>
      <c r="J113" s="2">
        <v>17.363</v>
      </c>
      <c r="K113" s="2">
        <f t="shared" si="63"/>
        <v>0.4</v>
      </c>
      <c r="L113" s="2">
        <v>1.129</v>
      </c>
      <c r="M113" s="2">
        <v>1112.8</v>
      </c>
      <c r="N113" s="2">
        <v>11.87</v>
      </c>
    </row>
    <row r="114" spans="1:14" x14ac:dyDescent="0.3">
      <c r="A114" s="5">
        <v>40</v>
      </c>
      <c r="B114" s="2">
        <f t="shared" si="62"/>
        <v>0.4</v>
      </c>
      <c r="C114" s="2">
        <v>1.1334</v>
      </c>
      <c r="D114" s="5">
        <v>1193.2</v>
      </c>
      <c r="E114" s="2">
        <v>12.1</v>
      </c>
      <c r="F114" s="5">
        <f t="shared" si="60"/>
        <v>687.10743801652893</v>
      </c>
      <c r="G114" s="3">
        <f t="shared" si="61"/>
        <v>1425.3141536553803</v>
      </c>
      <c r="I114" s="2"/>
      <c r="J114" s="2">
        <v>23.15</v>
      </c>
      <c r="K114" s="2">
        <f t="shared" si="63"/>
        <v>0.4</v>
      </c>
      <c r="L114" s="2">
        <v>1.1291</v>
      </c>
      <c r="M114" s="2">
        <v>1131.0999999999999</v>
      </c>
      <c r="N114" s="2">
        <v>12.012</v>
      </c>
    </row>
    <row r="115" spans="1:14" x14ac:dyDescent="0.3">
      <c r="A115" s="5">
        <v>50</v>
      </c>
      <c r="B115" s="2">
        <f t="shared" si="62"/>
        <v>0.4</v>
      </c>
      <c r="C115" s="2">
        <v>1.1332</v>
      </c>
      <c r="D115" s="5">
        <v>1209</v>
      </c>
      <c r="E115" s="2">
        <v>12.22</v>
      </c>
      <c r="F115" s="5">
        <f t="shared" si="60"/>
        <v>680.36006546644842</v>
      </c>
      <c r="G115" s="3">
        <f t="shared" si="61"/>
        <v>1427.7498771890589</v>
      </c>
      <c r="I115" s="2"/>
      <c r="J115" s="2">
        <v>28.937000000000001</v>
      </c>
      <c r="K115" s="2">
        <f t="shared" si="63"/>
        <v>0.4</v>
      </c>
      <c r="L115" s="2">
        <v>1.1291</v>
      </c>
      <c r="M115" s="2">
        <v>1145.5999999999999</v>
      </c>
      <c r="N115" s="2">
        <v>12.125999999999999</v>
      </c>
    </row>
    <row r="116" spans="1:14" x14ac:dyDescent="0.3">
      <c r="A116" s="5">
        <v>60</v>
      </c>
      <c r="B116" s="2">
        <f t="shared" si="62"/>
        <v>0.4</v>
      </c>
      <c r="C116" s="2">
        <v>1.1329</v>
      </c>
      <c r="D116" s="5">
        <v>1222</v>
      </c>
      <c r="E116" s="2">
        <v>12.321</v>
      </c>
      <c r="F116" s="5">
        <f t="shared" si="60"/>
        <v>674.78289099910728</v>
      </c>
      <c r="G116" s="3">
        <f t="shared" si="61"/>
        <v>1429.647946242583</v>
      </c>
      <c r="I116" s="2"/>
      <c r="J116" s="2">
        <v>34.723999999999997</v>
      </c>
      <c r="K116" s="2">
        <f t="shared" si="63"/>
        <v>0.4</v>
      </c>
      <c r="L116" s="2">
        <v>1.129</v>
      </c>
      <c r="M116" s="2">
        <v>1157.5999999999999</v>
      </c>
      <c r="N116" s="2">
        <v>12.222</v>
      </c>
    </row>
    <row r="117" spans="1:14" x14ac:dyDescent="0.3">
      <c r="A117" s="5">
        <v>70</v>
      </c>
      <c r="B117" s="2">
        <f t="shared" si="62"/>
        <v>0.4</v>
      </c>
      <c r="C117" s="2">
        <v>1.1327</v>
      </c>
      <c r="D117" s="5">
        <v>1233.2</v>
      </c>
      <c r="E117" s="2">
        <v>12.407999999999999</v>
      </c>
      <c r="F117" s="5">
        <f t="shared" si="60"/>
        <v>670.05157962604778</v>
      </c>
      <c r="G117" s="3">
        <f t="shared" si="61"/>
        <v>1431.2328142145918</v>
      </c>
      <c r="I117" s="2"/>
      <c r="J117" s="2">
        <v>40.512999999999998</v>
      </c>
      <c r="K117" s="2">
        <f t="shared" si="63"/>
        <v>0.4</v>
      </c>
      <c r="L117" s="2">
        <v>1.1289</v>
      </c>
      <c r="M117" s="2">
        <v>1167.9000000000001</v>
      </c>
      <c r="N117" s="2">
        <v>12.304</v>
      </c>
    </row>
    <row r="118" spans="1:14" x14ac:dyDescent="0.3">
      <c r="A118" s="5">
        <v>80</v>
      </c>
      <c r="B118" s="2">
        <f t="shared" si="62"/>
        <v>0.4</v>
      </c>
      <c r="C118" s="2">
        <v>1.1324000000000001</v>
      </c>
      <c r="D118" s="5">
        <v>1242.9000000000001</v>
      </c>
      <c r="E118" s="2">
        <v>12.484999999999999</v>
      </c>
      <c r="F118" s="5">
        <f t="shared" si="60"/>
        <v>665.91910292350815</v>
      </c>
      <c r="G118" s="3">
        <f t="shared" si="61"/>
        <v>1432.5512216545358</v>
      </c>
      <c r="I118" s="2"/>
      <c r="J118" s="2">
        <v>46.302</v>
      </c>
      <c r="K118" s="2">
        <f t="shared" si="63"/>
        <v>0.4</v>
      </c>
      <c r="L118" s="2">
        <v>1.1288</v>
      </c>
      <c r="M118" s="2">
        <v>1176.9000000000001</v>
      </c>
      <c r="N118" s="2">
        <v>12.377000000000001</v>
      </c>
    </row>
    <row r="119" spans="1:14" x14ac:dyDescent="0.3">
      <c r="A119" s="5">
        <v>90</v>
      </c>
      <c r="B119" s="2">
        <f t="shared" si="62"/>
        <v>0.4</v>
      </c>
      <c r="C119" s="2">
        <v>1.1322000000000001</v>
      </c>
      <c r="D119" s="5">
        <v>1251.5999999999999</v>
      </c>
      <c r="E119" s="2">
        <v>12.553000000000001</v>
      </c>
      <c r="F119" s="5">
        <f t="shared" si="60"/>
        <v>662.31179797657921</v>
      </c>
      <c r="G119" s="3">
        <f t="shared" si="61"/>
        <v>1433.7495858840464</v>
      </c>
      <c r="I119" s="2"/>
      <c r="J119" s="2">
        <v>52.091999999999999</v>
      </c>
      <c r="K119" s="2">
        <f t="shared" si="63"/>
        <v>0.4</v>
      </c>
      <c r="L119" s="2">
        <v>1.1287</v>
      </c>
      <c r="M119" s="2">
        <v>1184.8</v>
      </c>
      <c r="N119" s="2">
        <v>12.442</v>
      </c>
    </row>
    <row r="120" spans="1:14" x14ac:dyDescent="0.3">
      <c r="A120" s="5">
        <v>100</v>
      </c>
      <c r="B120" s="2">
        <f t="shared" si="62"/>
        <v>0.4</v>
      </c>
      <c r="C120" s="2">
        <v>1.1318999999999999</v>
      </c>
      <c r="D120" s="5">
        <v>1259.4000000000001</v>
      </c>
      <c r="E120" s="2">
        <v>12.615</v>
      </c>
      <c r="F120" s="5">
        <f t="shared" si="60"/>
        <v>659.05667855727313</v>
      </c>
      <c r="G120" s="3">
        <f t="shared" si="61"/>
        <v>1434.810189147044</v>
      </c>
      <c r="I120" s="2"/>
      <c r="J120" s="2">
        <v>57.881999999999998</v>
      </c>
      <c r="K120" s="2">
        <f t="shared" si="63"/>
        <v>0.4</v>
      </c>
      <c r="L120" s="2">
        <v>1.1286</v>
      </c>
      <c r="M120" s="2">
        <v>1192</v>
      </c>
      <c r="N120" s="2">
        <v>12.5</v>
      </c>
    </row>
    <row r="121" spans="1:14" x14ac:dyDescent="0.3">
      <c r="A121" s="5">
        <v>10</v>
      </c>
      <c r="B121" s="2">
        <f t="shared" si="62"/>
        <v>0.60000000000000009</v>
      </c>
      <c r="C121" s="2">
        <v>1.1584000000000001</v>
      </c>
      <c r="D121" s="5">
        <v>1197.7</v>
      </c>
      <c r="E121" s="2">
        <v>12.266999999999999</v>
      </c>
      <c r="F121" s="5">
        <f t="shared" si="60"/>
        <v>677.7533219206</v>
      </c>
      <c r="G121" s="3">
        <f t="shared" si="61"/>
        <v>1407.0463989022574</v>
      </c>
      <c r="I121" s="2"/>
      <c r="J121" s="2">
        <v>5.7533000000000003</v>
      </c>
      <c r="K121" s="2">
        <f t="shared" si="63"/>
        <v>0.60000000000000009</v>
      </c>
      <c r="L121" s="2">
        <v>1.1465000000000001</v>
      </c>
      <c r="M121" s="2">
        <v>1130.5</v>
      </c>
      <c r="N121" s="2">
        <v>12.244</v>
      </c>
    </row>
    <row r="122" spans="1:14" x14ac:dyDescent="0.3">
      <c r="A122" s="5">
        <v>20</v>
      </c>
      <c r="B122" s="2">
        <f t="shared" si="62"/>
        <v>0.60000000000000009</v>
      </c>
      <c r="C122" s="2">
        <v>1.1593</v>
      </c>
      <c r="D122" s="5">
        <v>1245.4000000000001</v>
      </c>
      <c r="E122" s="2">
        <v>12.531000000000001</v>
      </c>
      <c r="F122" s="5">
        <f t="shared" si="60"/>
        <v>663.47458303407552</v>
      </c>
      <c r="G122" s="3">
        <f t="shared" si="61"/>
        <v>1419.1977536581128</v>
      </c>
      <c r="I122" s="2"/>
      <c r="J122" s="2">
        <v>11.499000000000001</v>
      </c>
      <c r="K122" s="2">
        <f t="shared" si="63"/>
        <v>0.60000000000000009</v>
      </c>
      <c r="L122" s="2">
        <v>1.1483000000000001</v>
      </c>
      <c r="M122" s="2">
        <v>1174</v>
      </c>
      <c r="N122" s="2">
        <v>12.493</v>
      </c>
    </row>
    <row r="123" spans="1:14" x14ac:dyDescent="0.3">
      <c r="A123" s="5">
        <v>30</v>
      </c>
      <c r="B123" s="2">
        <f t="shared" si="62"/>
        <v>0.60000000000000009</v>
      </c>
      <c r="C123" s="2">
        <v>1.1596</v>
      </c>
      <c r="D123" s="5">
        <v>1275.2</v>
      </c>
      <c r="E123" s="2">
        <v>12.709</v>
      </c>
      <c r="F123" s="5">
        <f t="shared" si="60"/>
        <v>654.18207569438982</v>
      </c>
      <c r="G123" s="3">
        <f t="shared" si="61"/>
        <v>1425.850838127323</v>
      </c>
      <c r="I123" s="2"/>
      <c r="J123" s="2">
        <v>17.244</v>
      </c>
      <c r="K123" s="2">
        <f t="shared" si="63"/>
        <v>0.60000000000000009</v>
      </c>
      <c r="L123" s="2">
        <v>1.1491</v>
      </c>
      <c r="M123" s="2">
        <v>1201.2</v>
      </c>
      <c r="N123" s="2">
        <v>12.661</v>
      </c>
    </row>
    <row r="124" spans="1:14" x14ac:dyDescent="0.3">
      <c r="A124" s="5">
        <v>40</v>
      </c>
      <c r="B124" s="2">
        <f t="shared" si="62"/>
        <v>0.60000000000000009</v>
      </c>
      <c r="C124" s="2">
        <v>1.1596</v>
      </c>
      <c r="D124" s="5">
        <v>1297.2</v>
      </c>
      <c r="E124" s="2">
        <v>12.847</v>
      </c>
      <c r="F124" s="5">
        <f t="shared" si="60"/>
        <v>647.15497781583258</v>
      </c>
      <c r="G124" s="3">
        <f t="shared" si="61"/>
        <v>1430.3530323197213</v>
      </c>
      <c r="I124" s="2"/>
      <c r="J124" s="2">
        <v>22.986999999999998</v>
      </c>
      <c r="K124" s="2">
        <f t="shared" si="63"/>
        <v>0.60000000000000009</v>
      </c>
      <c r="L124" s="2">
        <v>1.1495</v>
      </c>
      <c r="M124" s="2">
        <v>1221.2</v>
      </c>
      <c r="N124" s="2">
        <v>12.79</v>
      </c>
    </row>
    <row r="125" spans="1:14" x14ac:dyDescent="0.3">
      <c r="A125" s="5">
        <v>50</v>
      </c>
      <c r="B125" s="2">
        <f t="shared" si="62"/>
        <v>0.60000000000000009</v>
      </c>
      <c r="C125" s="2">
        <v>1.1595</v>
      </c>
      <c r="D125" s="5">
        <v>1314.7</v>
      </c>
      <c r="E125" s="2">
        <v>12.96</v>
      </c>
      <c r="F125" s="5">
        <f t="shared" si="60"/>
        <v>641.51234567901224</v>
      </c>
      <c r="G125" s="3">
        <f t="shared" si="61"/>
        <v>1433.7222806613142</v>
      </c>
      <c r="I125" s="2"/>
      <c r="J125" s="2">
        <v>28.731000000000002</v>
      </c>
      <c r="K125" s="2">
        <f t="shared" si="63"/>
        <v>0.60000000000000009</v>
      </c>
      <c r="L125" s="2">
        <v>1.1497999999999999</v>
      </c>
      <c r="M125" s="2">
        <v>1237.2</v>
      </c>
      <c r="N125" s="2">
        <v>12.896000000000001</v>
      </c>
    </row>
    <row r="126" spans="1:14" x14ac:dyDescent="0.3">
      <c r="A126" s="5">
        <v>60</v>
      </c>
      <c r="B126" s="2">
        <f t="shared" si="62"/>
        <v>0.60000000000000009</v>
      </c>
      <c r="C126" s="2">
        <v>1.1594</v>
      </c>
      <c r="D126" s="5">
        <v>1329.2</v>
      </c>
      <c r="E126" s="2">
        <v>13.057</v>
      </c>
      <c r="F126" s="5">
        <f t="shared" si="60"/>
        <v>636.74657271961394</v>
      </c>
      <c r="G126" s="3">
        <f t="shared" si="61"/>
        <v>1436.2870344696446</v>
      </c>
      <c r="I126" s="2"/>
      <c r="J126" s="2">
        <v>34.475000000000001</v>
      </c>
      <c r="K126" s="2">
        <f t="shared" si="63"/>
        <v>0.60000000000000009</v>
      </c>
      <c r="L126" s="2">
        <v>1.1499999999999999</v>
      </c>
      <c r="M126" s="2">
        <v>1250.5</v>
      </c>
      <c r="N126" s="2">
        <v>12.986000000000001</v>
      </c>
    </row>
    <row r="127" spans="1:14" x14ac:dyDescent="0.3">
      <c r="A127" s="5">
        <v>70</v>
      </c>
      <c r="B127" s="2">
        <f t="shared" si="62"/>
        <v>0.60000000000000009</v>
      </c>
      <c r="C127" s="2">
        <v>1.1593</v>
      </c>
      <c r="D127" s="5">
        <v>1341.8</v>
      </c>
      <c r="E127" s="2">
        <v>13.141999999999999</v>
      </c>
      <c r="F127" s="5">
        <f t="shared" si="60"/>
        <v>632.62821488357929</v>
      </c>
      <c r="G127" s="3">
        <f t="shared" si="61"/>
        <v>1438.449142643467</v>
      </c>
      <c r="I127" s="2"/>
      <c r="J127" s="2">
        <v>40.22</v>
      </c>
      <c r="K127" s="2">
        <f t="shared" si="63"/>
        <v>0.60000000000000009</v>
      </c>
      <c r="L127" s="2">
        <v>1.1500999999999999</v>
      </c>
      <c r="M127" s="2">
        <v>1261.9000000000001</v>
      </c>
      <c r="N127" s="2">
        <v>13.065</v>
      </c>
    </row>
    <row r="128" spans="1:14" x14ac:dyDescent="0.3">
      <c r="A128" s="5">
        <v>80</v>
      </c>
      <c r="B128" s="2">
        <f t="shared" si="62"/>
        <v>0.60000000000000009</v>
      </c>
      <c r="C128" s="2">
        <v>1.1591</v>
      </c>
      <c r="D128" s="5">
        <v>1352.8</v>
      </c>
      <c r="E128" s="2">
        <v>13.217000000000001</v>
      </c>
      <c r="F128" s="5">
        <f t="shared" si="60"/>
        <v>629.03835968828025</v>
      </c>
      <c r="G128" s="3">
        <f t="shared" si="61"/>
        <v>1440.3195419631302</v>
      </c>
      <c r="I128" s="2"/>
      <c r="J128" s="2">
        <v>45.963999999999999</v>
      </c>
      <c r="K128" s="2">
        <f t="shared" si="63"/>
        <v>0.60000000000000009</v>
      </c>
      <c r="L128" s="2">
        <v>1.1501999999999999</v>
      </c>
      <c r="M128" s="2">
        <v>1272</v>
      </c>
      <c r="N128" s="2">
        <v>13.135</v>
      </c>
    </row>
    <row r="129" spans="1:14" x14ac:dyDescent="0.3">
      <c r="A129" s="5">
        <v>90</v>
      </c>
      <c r="B129" s="2">
        <f t="shared" si="62"/>
        <v>0.60000000000000009</v>
      </c>
      <c r="C129" s="2">
        <v>1.1589</v>
      </c>
      <c r="D129" s="5">
        <v>1362.6</v>
      </c>
      <c r="E129" s="2">
        <v>13.285</v>
      </c>
      <c r="F129" s="5">
        <f t="shared" si="60"/>
        <v>625.81859239744074</v>
      </c>
      <c r="G129" s="3">
        <f t="shared" si="61"/>
        <v>1441.9130455453646</v>
      </c>
      <c r="I129" s="2"/>
      <c r="J129" s="2">
        <v>51.707999999999998</v>
      </c>
      <c r="K129" s="2">
        <f t="shared" si="63"/>
        <v>0.60000000000000009</v>
      </c>
      <c r="L129" s="2">
        <v>1.1501999999999999</v>
      </c>
      <c r="M129" s="2">
        <v>1280.9000000000001</v>
      </c>
      <c r="N129" s="2">
        <v>13.199</v>
      </c>
    </row>
    <row r="130" spans="1:14" x14ac:dyDescent="0.3">
      <c r="A130" s="5">
        <v>100</v>
      </c>
      <c r="B130" s="2">
        <f t="shared" si="62"/>
        <v>0.60000000000000009</v>
      </c>
      <c r="C130" s="2">
        <v>1.1587000000000001</v>
      </c>
      <c r="D130" s="5">
        <v>1371.5</v>
      </c>
      <c r="E130" s="2">
        <v>13.348000000000001</v>
      </c>
      <c r="F130" s="5">
        <f t="shared" si="60"/>
        <v>622.86484866646686</v>
      </c>
      <c r="G130" s="3">
        <f t="shared" si="61"/>
        <v>1443.2867620271134</v>
      </c>
      <c r="I130" s="2"/>
      <c r="J130" s="2">
        <v>57.453000000000003</v>
      </c>
      <c r="K130" s="2">
        <f t="shared" si="63"/>
        <v>0.60000000000000009</v>
      </c>
      <c r="L130" s="2">
        <v>1.1501999999999999</v>
      </c>
      <c r="M130" s="2">
        <v>1289</v>
      </c>
      <c r="N130" s="2">
        <v>13.257</v>
      </c>
    </row>
    <row r="131" spans="1:14" x14ac:dyDescent="0.3">
      <c r="A131" s="5">
        <v>10</v>
      </c>
      <c r="B131" s="2">
        <f t="shared" si="62"/>
        <v>0.8</v>
      </c>
      <c r="C131" s="2">
        <v>1.2023999999999999</v>
      </c>
      <c r="D131" s="5">
        <v>1304.8</v>
      </c>
      <c r="E131" s="2">
        <v>13.301</v>
      </c>
      <c r="F131" s="5">
        <f t="shared" si="60"/>
        <v>625.0657845274792</v>
      </c>
      <c r="G131" s="3">
        <f t="shared" si="61"/>
        <v>1391.5290672487292</v>
      </c>
      <c r="I131" s="2"/>
      <c r="J131" s="2">
        <v>5.6920000000000002</v>
      </c>
      <c r="K131" s="2">
        <f t="shared" si="63"/>
        <v>0.8</v>
      </c>
      <c r="L131" s="2">
        <v>1.1783999999999999</v>
      </c>
      <c r="M131" s="2">
        <v>1211.0999999999999</v>
      </c>
      <c r="N131" s="2">
        <v>13.331</v>
      </c>
    </row>
    <row r="132" spans="1:14" x14ac:dyDescent="0.3">
      <c r="A132" s="5">
        <v>20</v>
      </c>
      <c r="B132" s="2">
        <f t="shared" si="62"/>
        <v>0.8</v>
      </c>
      <c r="C132" s="2">
        <v>1.1983999999999999</v>
      </c>
      <c r="D132" s="5">
        <v>1349.6</v>
      </c>
      <c r="E132" s="2">
        <v>13.512</v>
      </c>
      <c r="F132" s="5">
        <f t="shared" si="60"/>
        <v>615.30491415038477</v>
      </c>
      <c r="G132" s="3">
        <f t="shared" si="61"/>
        <v>1405.8050665674268</v>
      </c>
      <c r="I132" s="2"/>
      <c r="J132" s="2">
        <v>11.385999999999999</v>
      </c>
      <c r="K132" s="2">
        <f t="shared" si="63"/>
        <v>0.8</v>
      </c>
      <c r="L132" s="2">
        <v>1.1776</v>
      </c>
      <c r="M132" s="2">
        <v>1254</v>
      </c>
      <c r="N132" s="2">
        <v>13.531000000000001</v>
      </c>
    </row>
    <row r="133" spans="1:14" x14ac:dyDescent="0.3">
      <c r="A133" s="5">
        <v>30</v>
      </c>
      <c r="B133" s="2">
        <f t="shared" si="62"/>
        <v>0.8</v>
      </c>
      <c r="C133" s="2">
        <v>1.1966000000000001</v>
      </c>
      <c r="D133" s="5">
        <v>1378.5</v>
      </c>
      <c r="E133" s="2">
        <v>13.662000000000001</v>
      </c>
      <c r="F133" s="5">
        <f t="shared" si="60"/>
        <v>608.54926072317369</v>
      </c>
      <c r="G133" s="3">
        <f t="shared" si="61"/>
        <v>1413.7196951827277</v>
      </c>
      <c r="I133" s="2"/>
      <c r="J133" s="2">
        <v>17.079000000000001</v>
      </c>
      <c r="K133" s="2">
        <f t="shared" si="63"/>
        <v>0.8</v>
      </c>
      <c r="L133" s="2">
        <v>1.1773</v>
      </c>
      <c r="M133" s="2">
        <v>1281.3</v>
      </c>
      <c r="N133" s="2">
        <v>13.673</v>
      </c>
    </row>
    <row r="134" spans="1:14" x14ac:dyDescent="0.3">
      <c r="A134" s="5">
        <v>40</v>
      </c>
      <c r="B134" s="2">
        <f t="shared" si="62"/>
        <v>0.8</v>
      </c>
      <c r="C134" s="2">
        <v>1.1955</v>
      </c>
      <c r="D134" s="5">
        <v>1400.2</v>
      </c>
      <c r="E134" s="2">
        <v>13.782</v>
      </c>
      <c r="F134" s="5">
        <f t="shared" si="60"/>
        <v>603.250616746481</v>
      </c>
      <c r="G134" s="3">
        <f t="shared" si="61"/>
        <v>1419.0562388381747</v>
      </c>
      <c r="I134" s="2"/>
      <c r="J134" s="2">
        <v>22.773</v>
      </c>
      <c r="K134" s="2">
        <f t="shared" si="63"/>
        <v>0.8</v>
      </c>
      <c r="L134" s="2">
        <v>1.1772</v>
      </c>
      <c r="M134" s="2">
        <v>1301.5999999999999</v>
      </c>
      <c r="N134" s="2">
        <v>13.785</v>
      </c>
    </row>
    <row r="135" spans="1:14" x14ac:dyDescent="0.3">
      <c r="A135" s="5">
        <v>50</v>
      </c>
      <c r="B135" s="2">
        <f t="shared" si="62"/>
        <v>0.8</v>
      </c>
      <c r="C135" s="2">
        <v>1.1946000000000001</v>
      </c>
      <c r="D135" s="5">
        <v>1417.7</v>
      </c>
      <c r="E135" s="2">
        <v>13.882999999999999</v>
      </c>
      <c r="F135" s="5">
        <f t="shared" si="60"/>
        <v>598.86191745300016</v>
      </c>
      <c r="G135" s="3">
        <f t="shared" si="61"/>
        <v>1423.0784408041932</v>
      </c>
      <c r="I135" s="2"/>
      <c r="J135" s="2">
        <v>28.466000000000001</v>
      </c>
      <c r="K135" s="2">
        <f t="shared" si="63"/>
        <v>0.8</v>
      </c>
      <c r="L135" s="2">
        <v>1.1771</v>
      </c>
      <c r="M135" s="2">
        <v>1317.9</v>
      </c>
      <c r="N135" s="2">
        <v>13.879</v>
      </c>
    </row>
    <row r="136" spans="1:14" x14ac:dyDescent="0.3">
      <c r="A136" s="5">
        <v>60</v>
      </c>
      <c r="B136" s="2">
        <f t="shared" si="62"/>
        <v>0.8</v>
      </c>
      <c r="C136" s="2">
        <v>1.1939</v>
      </c>
      <c r="D136" s="5">
        <v>1432.4</v>
      </c>
      <c r="E136" s="2">
        <v>13.971</v>
      </c>
      <c r="F136" s="5">
        <f t="shared" si="60"/>
        <v>595.08982893135783</v>
      </c>
      <c r="G136" s="3">
        <f t="shared" si="61"/>
        <v>1426.2258833079566</v>
      </c>
      <c r="I136" s="2"/>
      <c r="J136" s="2">
        <v>34.158999999999999</v>
      </c>
      <c r="K136" s="2">
        <f t="shared" si="63"/>
        <v>0.8</v>
      </c>
      <c r="L136" s="2">
        <v>1.1771</v>
      </c>
      <c r="M136" s="2">
        <v>1331.6</v>
      </c>
      <c r="N136" s="2">
        <v>13.961</v>
      </c>
    </row>
    <row r="137" spans="1:14" x14ac:dyDescent="0.3">
      <c r="A137" s="5">
        <v>70</v>
      </c>
      <c r="B137" s="2">
        <f t="shared" si="62"/>
        <v>0.8</v>
      </c>
      <c r="C137" s="2">
        <v>1.1933</v>
      </c>
      <c r="D137" s="5">
        <v>1445.2</v>
      </c>
      <c r="E137" s="2">
        <v>14.05</v>
      </c>
      <c r="F137" s="5">
        <f t="shared" si="60"/>
        <v>591.74377224199281</v>
      </c>
      <c r="G137" s="3">
        <f t="shared" si="61"/>
        <v>1428.8092801659707</v>
      </c>
      <c r="I137" s="2"/>
      <c r="J137" s="2">
        <v>39.853000000000002</v>
      </c>
      <c r="K137" s="2">
        <f t="shared" si="63"/>
        <v>0.8</v>
      </c>
      <c r="L137" s="2">
        <v>1.177</v>
      </c>
      <c r="M137" s="2">
        <v>1343.4</v>
      </c>
      <c r="N137" s="2">
        <v>14.032999999999999</v>
      </c>
    </row>
    <row r="138" spans="1:14" x14ac:dyDescent="0.3">
      <c r="A138" s="5">
        <v>80</v>
      </c>
      <c r="B138" s="2">
        <f t="shared" si="62"/>
        <v>0.8</v>
      </c>
      <c r="C138" s="2">
        <v>1.1927000000000001</v>
      </c>
      <c r="D138" s="5">
        <v>1456.4</v>
      </c>
      <c r="E138" s="2">
        <v>14.12</v>
      </c>
      <c r="F138" s="5">
        <f t="shared" si="60"/>
        <v>588.81019830028333</v>
      </c>
      <c r="G138" s="3">
        <f t="shared" si="61"/>
        <v>1431.034249441778</v>
      </c>
      <c r="I138" s="2"/>
      <c r="J138" s="2">
        <v>45.546999999999997</v>
      </c>
      <c r="K138" s="2">
        <f t="shared" si="63"/>
        <v>0.8</v>
      </c>
      <c r="L138" s="2">
        <v>1.1769000000000001</v>
      </c>
      <c r="M138" s="2">
        <v>1353.8</v>
      </c>
      <c r="N138" s="2">
        <v>14.098000000000001</v>
      </c>
    </row>
    <row r="139" spans="1:14" x14ac:dyDescent="0.3">
      <c r="A139" s="5">
        <v>90</v>
      </c>
      <c r="B139" s="2">
        <f t="shared" si="62"/>
        <v>0.8</v>
      </c>
      <c r="C139" s="2">
        <v>1.1922999999999999</v>
      </c>
      <c r="D139" s="5">
        <v>1466.5</v>
      </c>
      <c r="E139" s="2">
        <v>14.185</v>
      </c>
      <c r="F139" s="5">
        <f t="shared" si="60"/>
        <v>586.11209023616493</v>
      </c>
      <c r="G139" s="3">
        <f t="shared" si="61"/>
        <v>1432.8668252514401</v>
      </c>
      <c r="I139" s="2"/>
      <c r="J139" s="2">
        <v>51.241</v>
      </c>
      <c r="K139" s="2">
        <f t="shared" si="63"/>
        <v>0.8</v>
      </c>
      <c r="L139" s="2">
        <v>1.1768000000000001</v>
      </c>
      <c r="M139" s="2">
        <v>1363.1</v>
      </c>
      <c r="N139" s="2">
        <v>14.157999999999999</v>
      </c>
    </row>
    <row r="140" spans="1:14" x14ac:dyDescent="0.3">
      <c r="A140" s="5">
        <v>100</v>
      </c>
      <c r="B140" s="2">
        <f t="shared" si="62"/>
        <v>0.8</v>
      </c>
      <c r="C140" s="2">
        <v>1.1918</v>
      </c>
      <c r="D140" s="5">
        <v>1475.7</v>
      </c>
      <c r="E140" s="2">
        <v>14.244</v>
      </c>
      <c r="F140" s="5">
        <f t="shared" si="60"/>
        <v>583.6843583263128</v>
      </c>
      <c r="G140" s="3">
        <f t="shared" si="61"/>
        <v>1434.5909264388854</v>
      </c>
      <c r="I140" s="2"/>
      <c r="J140" s="2">
        <v>56.936</v>
      </c>
      <c r="K140" s="2">
        <f t="shared" si="63"/>
        <v>0.8</v>
      </c>
      <c r="L140" s="2">
        <v>1.1767000000000001</v>
      </c>
      <c r="M140" s="2">
        <v>1371.6</v>
      </c>
      <c r="N140" s="2">
        <v>14.212</v>
      </c>
    </row>
    <row r="141" spans="1:14" x14ac:dyDescent="0.3">
      <c r="A141" s="5">
        <v>10</v>
      </c>
      <c r="B141" s="2">
        <f t="shared" si="62"/>
        <v>1</v>
      </c>
      <c r="C141" s="2">
        <v>1.2673000000000001</v>
      </c>
      <c r="D141" s="5">
        <v>1457.1</v>
      </c>
      <c r="E141" s="2">
        <v>14.462</v>
      </c>
      <c r="F141" s="5">
        <f t="shared" si="60"/>
        <v>574.88590789655643</v>
      </c>
      <c r="G141" s="3">
        <f t="shared" si="61"/>
        <v>1384.0362234975987</v>
      </c>
      <c r="I141" s="2"/>
      <c r="J141" s="2">
        <v>5.5902000000000003</v>
      </c>
      <c r="K141" s="2">
        <f t="shared" si="63"/>
        <v>1</v>
      </c>
      <c r="L141" s="2">
        <v>1.2323</v>
      </c>
      <c r="M141" s="2">
        <v>1310.5</v>
      </c>
      <c r="N141" s="2">
        <v>14.519</v>
      </c>
    </row>
    <row r="142" spans="1:14" x14ac:dyDescent="0.3">
      <c r="A142" s="5">
        <v>20</v>
      </c>
      <c r="B142" s="2">
        <f t="shared" si="62"/>
        <v>1</v>
      </c>
      <c r="C142" s="2">
        <v>1.2548999999999999</v>
      </c>
      <c r="D142" s="5">
        <v>1487.4</v>
      </c>
      <c r="E142" s="2">
        <v>14.609</v>
      </c>
      <c r="F142" s="5">
        <f t="shared" si="60"/>
        <v>569.10123896228345</v>
      </c>
      <c r="G142" s="3">
        <f t="shared" si="61"/>
        <v>1396.1625739872889</v>
      </c>
      <c r="I142" s="2"/>
      <c r="J142" s="2">
        <v>11.215</v>
      </c>
      <c r="K142" s="2">
        <f t="shared" si="63"/>
        <v>1</v>
      </c>
      <c r="L142" s="2">
        <v>1.2229000000000001</v>
      </c>
      <c r="M142" s="2">
        <v>1346.8</v>
      </c>
      <c r="N142" s="2">
        <v>14.670999999999999</v>
      </c>
    </row>
    <row r="143" spans="1:14" x14ac:dyDescent="0.3">
      <c r="A143" s="5">
        <v>30</v>
      </c>
      <c r="B143" s="2">
        <f t="shared" si="62"/>
        <v>1</v>
      </c>
      <c r="C143" s="2">
        <v>1.2484</v>
      </c>
      <c r="D143" s="5">
        <v>1509.4</v>
      </c>
      <c r="E143" s="2">
        <v>14.724</v>
      </c>
      <c r="F143" s="5">
        <f t="shared" si="60"/>
        <v>564.65634338494976</v>
      </c>
      <c r="G143" s="3">
        <f t="shared" si="61"/>
        <v>1403.5357926044878</v>
      </c>
      <c r="I143" s="2"/>
      <c r="J143" s="2">
        <v>16.844000000000001</v>
      </c>
      <c r="K143" s="2">
        <f t="shared" si="63"/>
        <v>1</v>
      </c>
      <c r="L143" s="2">
        <v>1.2186999999999999</v>
      </c>
      <c r="M143" s="2">
        <v>1371</v>
      </c>
      <c r="N143" s="2">
        <v>14.786</v>
      </c>
    </row>
    <row r="144" spans="1:14" x14ac:dyDescent="0.3">
      <c r="A144" s="5">
        <v>40</v>
      </c>
      <c r="B144" s="2">
        <f t="shared" si="62"/>
        <v>1</v>
      </c>
      <c r="C144" s="2">
        <v>1.2442</v>
      </c>
      <c r="D144" s="5">
        <v>1527</v>
      </c>
      <c r="E144" s="2">
        <v>14.821</v>
      </c>
      <c r="F144" s="5">
        <f t="shared" si="60"/>
        <v>560.96079886647317</v>
      </c>
      <c r="G144" s="3">
        <f t="shared" si="61"/>
        <v>1408.7564271501606</v>
      </c>
      <c r="I144" s="2"/>
      <c r="J144" s="2">
        <v>22.477</v>
      </c>
      <c r="K144" s="2">
        <f t="shared" si="63"/>
        <v>1</v>
      </c>
      <c r="L144" s="2">
        <v>1.2161999999999999</v>
      </c>
      <c r="M144" s="2">
        <v>1389.6</v>
      </c>
      <c r="N144" s="2">
        <v>14.879</v>
      </c>
    </row>
    <row r="145" spans="1:14" x14ac:dyDescent="0.3">
      <c r="A145" s="5">
        <v>50</v>
      </c>
      <c r="B145" s="2">
        <f t="shared" si="62"/>
        <v>1</v>
      </c>
      <c r="C145" s="2">
        <v>1.2412000000000001</v>
      </c>
      <c r="D145" s="5">
        <v>1541.7</v>
      </c>
      <c r="E145" s="2">
        <v>14.904999999999999</v>
      </c>
      <c r="F145" s="5">
        <f t="shared" si="60"/>
        <v>557.79939617577998</v>
      </c>
      <c r="G145" s="3">
        <f t="shared" si="61"/>
        <v>1412.7409314620163</v>
      </c>
      <c r="I145" s="2"/>
      <c r="J145" s="2">
        <v>28.111000000000001</v>
      </c>
      <c r="K145" s="2">
        <f t="shared" si="63"/>
        <v>1</v>
      </c>
      <c r="L145" s="2">
        <v>1.2144999999999999</v>
      </c>
      <c r="M145" s="2">
        <v>1404.8</v>
      </c>
      <c r="N145" s="2">
        <v>14.96</v>
      </c>
    </row>
    <row r="146" spans="1:14" x14ac:dyDescent="0.3">
      <c r="A146" s="5">
        <v>60</v>
      </c>
      <c r="B146" s="2">
        <f t="shared" si="62"/>
        <v>1</v>
      </c>
      <c r="C146" s="2">
        <v>1.2388999999999999</v>
      </c>
      <c r="D146" s="5">
        <v>1554.4</v>
      </c>
      <c r="E146" s="2">
        <v>14.98</v>
      </c>
      <c r="F146" s="5">
        <f t="shared" si="60"/>
        <v>555.00667556742326</v>
      </c>
      <c r="G146" s="3">
        <f t="shared" si="61"/>
        <v>1415.9278910983405</v>
      </c>
      <c r="I146" s="2"/>
      <c r="J146" s="2">
        <v>33.747</v>
      </c>
      <c r="K146" s="2">
        <f t="shared" si="63"/>
        <v>1</v>
      </c>
      <c r="L146" s="2">
        <v>1.2132000000000001</v>
      </c>
      <c r="M146" s="2">
        <v>1417.6</v>
      </c>
      <c r="N146" s="2">
        <v>15.031000000000001</v>
      </c>
    </row>
    <row r="147" spans="1:14" x14ac:dyDescent="0.3">
      <c r="A147" s="5">
        <v>70</v>
      </c>
      <c r="B147" s="2">
        <f t="shared" si="62"/>
        <v>1</v>
      </c>
      <c r="C147" s="2">
        <v>1.2370000000000001</v>
      </c>
      <c r="D147" s="5">
        <v>1565.6</v>
      </c>
      <c r="E147" s="2">
        <v>15.048</v>
      </c>
      <c r="F147" s="5">
        <f t="shared" si="60"/>
        <v>552.49867091972362</v>
      </c>
      <c r="G147" s="3">
        <f t="shared" si="61"/>
        <v>1418.5815613329762</v>
      </c>
      <c r="I147" s="2"/>
      <c r="J147" s="2">
        <v>39.383000000000003</v>
      </c>
      <c r="K147" s="2">
        <f t="shared" si="63"/>
        <v>1</v>
      </c>
      <c r="L147" s="2">
        <v>1.2121999999999999</v>
      </c>
      <c r="M147" s="2">
        <v>1428.9</v>
      </c>
      <c r="N147" s="2">
        <v>15.095000000000001</v>
      </c>
    </row>
    <row r="148" spans="1:14" x14ac:dyDescent="0.3">
      <c r="A148" s="5">
        <v>80</v>
      </c>
      <c r="B148" s="2">
        <f t="shared" si="62"/>
        <v>1</v>
      </c>
      <c r="C148" s="2">
        <v>1.2355</v>
      </c>
      <c r="D148" s="5">
        <v>1575.7</v>
      </c>
      <c r="E148" s="2">
        <v>15.111000000000001</v>
      </c>
      <c r="F148" s="5">
        <f t="shared" si="60"/>
        <v>550.19522202369126</v>
      </c>
      <c r="G148" s="3">
        <f t="shared" si="61"/>
        <v>1420.7949290454944</v>
      </c>
      <c r="I148" s="2"/>
      <c r="J148" s="2">
        <v>45.021000000000001</v>
      </c>
      <c r="K148" s="2">
        <f t="shared" si="63"/>
        <v>1</v>
      </c>
      <c r="L148" s="2">
        <v>1.2114</v>
      </c>
      <c r="M148" s="2">
        <v>1438.8</v>
      </c>
      <c r="N148" s="2">
        <v>15.154</v>
      </c>
    </row>
    <row r="149" spans="1:14" x14ac:dyDescent="0.3">
      <c r="A149" s="5">
        <v>90</v>
      </c>
      <c r="B149" s="2">
        <f t="shared" si="62"/>
        <v>1</v>
      </c>
      <c r="C149" s="2">
        <v>1.2341</v>
      </c>
      <c r="D149" s="5">
        <v>1584.8</v>
      </c>
      <c r="E149" s="2">
        <v>15.169</v>
      </c>
      <c r="F149" s="5">
        <f t="shared" si="60"/>
        <v>548.09150240622319</v>
      </c>
      <c r="G149" s="3">
        <f t="shared" si="61"/>
        <v>1422.7403739017764</v>
      </c>
      <c r="I149" s="2"/>
      <c r="J149" s="2">
        <v>50.66</v>
      </c>
      <c r="K149" s="2">
        <f t="shared" si="63"/>
        <v>1</v>
      </c>
      <c r="L149" s="2">
        <v>1.2107000000000001</v>
      </c>
      <c r="M149" s="2">
        <v>1447.8</v>
      </c>
      <c r="N149" s="2">
        <v>15.207000000000001</v>
      </c>
    </row>
    <row r="150" spans="1:14" x14ac:dyDescent="0.3">
      <c r="A150" s="5">
        <v>100</v>
      </c>
      <c r="B150" s="2">
        <f t="shared" si="62"/>
        <v>1</v>
      </c>
      <c r="C150" s="2">
        <v>1.2330000000000001</v>
      </c>
      <c r="D150" s="5">
        <v>1593.2</v>
      </c>
      <c r="E150" s="2">
        <v>15.223000000000001</v>
      </c>
      <c r="F150" s="5">
        <f t="shared" si="60"/>
        <v>546.14727714642322</v>
      </c>
      <c r="G150" s="3">
        <f t="shared" si="61"/>
        <v>1424.4267608762093</v>
      </c>
      <c r="I150" s="2"/>
      <c r="J150" s="2">
        <v>56.298999999999999</v>
      </c>
      <c r="K150" s="2">
        <f t="shared" si="63"/>
        <v>1</v>
      </c>
      <c r="L150" s="2">
        <v>1.2101</v>
      </c>
      <c r="M150" s="2">
        <v>1456</v>
      </c>
      <c r="N150" s="2">
        <v>15.257</v>
      </c>
    </row>
    <row r="151" spans="1:14" x14ac:dyDescent="0.3">
      <c r="A151" s="5">
        <v>10</v>
      </c>
      <c r="B151" s="2">
        <f t="shared" si="62"/>
        <v>1.2</v>
      </c>
      <c r="C151" s="2">
        <v>1.3089</v>
      </c>
      <c r="D151" s="5">
        <v>1732.8</v>
      </c>
      <c r="E151" s="2">
        <v>15.667</v>
      </c>
      <c r="F151" s="5">
        <f t="shared" si="60"/>
        <v>530.66956022212298</v>
      </c>
      <c r="G151" s="3">
        <f t="shared" si="61"/>
        <v>1433.6635460716748</v>
      </c>
      <c r="I151" s="2"/>
      <c r="J151" s="2">
        <v>5.4325999999999999</v>
      </c>
      <c r="K151" s="2">
        <f t="shared" si="63"/>
        <v>1.2</v>
      </c>
      <c r="L151" s="2">
        <v>1.3134999999999999</v>
      </c>
      <c r="M151" s="2">
        <v>1499.7</v>
      </c>
      <c r="N151" s="2">
        <v>15.676</v>
      </c>
    </row>
    <row r="152" spans="1:14" x14ac:dyDescent="0.3">
      <c r="A152" s="5">
        <v>20</v>
      </c>
      <c r="B152" s="2">
        <f t="shared" si="62"/>
        <v>1.2</v>
      </c>
      <c r="C152" s="2">
        <v>1.3069999999999999</v>
      </c>
      <c r="D152" s="5">
        <v>1735</v>
      </c>
      <c r="E152" s="2">
        <v>15.677</v>
      </c>
      <c r="F152" s="5">
        <f t="shared" si="60"/>
        <v>530.33105823818335</v>
      </c>
      <c r="G152" s="3">
        <f t="shared" si="61"/>
        <v>1434.8483372187673</v>
      </c>
      <c r="I152" s="2"/>
      <c r="J152" s="2">
        <v>10.904</v>
      </c>
      <c r="K152" s="2">
        <f t="shared" si="63"/>
        <v>1.2</v>
      </c>
      <c r="L152" s="2">
        <v>1.3037000000000001</v>
      </c>
      <c r="M152" s="2">
        <v>1507.7</v>
      </c>
      <c r="N152" s="2">
        <v>15.708</v>
      </c>
    </row>
    <row r="153" spans="1:14" x14ac:dyDescent="0.3">
      <c r="A153" s="5">
        <v>30</v>
      </c>
      <c r="B153" s="2">
        <f t="shared" si="62"/>
        <v>1.2</v>
      </c>
      <c r="C153" s="2">
        <v>1.3042</v>
      </c>
      <c r="D153" s="5">
        <v>1738.4</v>
      </c>
      <c r="E153" s="2">
        <v>15.693</v>
      </c>
      <c r="F153" s="5">
        <f t="shared" si="60"/>
        <v>529.79035238641438</v>
      </c>
      <c r="G153" s="3">
        <f t="shared" si="61"/>
        <v>1436.6044339229561</v>
      </c>
      <c r="I153" s="2"/>
      <c r="J153" s="2">
        <v>16.41</v>
      </c>
      <c r="K153" s="2">
        <f t="shared" si="63"/>
        <v>1.2</v>
      </c>
      <c r="L153" s="2">
        <v>1.2946</v>
      </c>
      <c r="M153" s="2">
        <v>1517.1</v>
      </c>
      <c r="N153" s="2">
        <v>15.747999999999999</v>
      </c>
    </row>
    <row r="154" spans="1:14" x14ac:dyDescent="0.3">
      <c r="A154" s="5">
        <v>40</v>
      </c>
      <c r="B154" s="2">
        <f t="shared" si="62"/>
        <v>1.2</v>
      </c>
      <c r="C154" s="2">
        <v>1.3010999999999999</v>
      </c>
      <c r="D154" s="5">
        <v>1742.5</v>
      </c>
      <c r="E154" s="2">
        <v>15.712999999999999</v>
      </c>
      <c r="F154" s="5">
        <f t="shared" si="60"/>
        <v>529.1160185833387</v>
      </c>
      <c r="G154" s="3">
        <f t="shared" si="61"/>
        <v>1438.5862323334945</v>
      </c>
      <c r="I154" s="2"/>
      <c r="J154" s="2">
        <v>21.934999999999999</v>
      </c>
      <c r="K154" s="2">
        <f t="shared" si="63"/>
        <v>1.2</v>
      </c>
      <c r="L154" s="2">
        <v>1.2875000000000001</v>
      </c>
      <c r="M154" s="2">
        <v>1526.5</v>
      </c>
      <c r="N154" s="2">
        <v>15.79</v>
      </c>
    </row>
    <row r="155" spans="1:14" x14ac:dyDescent="0.3">
      <c r="A155" s="5">
        <v>50</v>
      </c>
      <c r="B155" s="2">
        <f t="shared" si="62"/>
        <v>1.2</v>
      </c>
      <c r="C155" s="2">
        <v>1.2981</v>
      </c>
      <c r="D155" s="5">
        <v>1747</v>
      </c>
      <c r="E155" s="2">
        <v>15.734999999999999</v>
      </c>
      <c r="F155" s="5">
        <f t="shared" si="60"/>
        <v>528.37623133142677</v>
      </c>
      <c r="G155" s="3">
        <f t="shared" si="61"/>
        <v>1440.6058539573692</v>
      </c>
      <c r="I155" s="2"/>
      <c r="J155" s="2">
        <v>27.471</v>
      </c>
      <c r="K155" s="2">
        <f t="shared" si="63"/>
        <v>1.2</v>
      </c>
      <c r="L155" s="2">
        <v>1.282</v>
      </c>
      <c r="M155" s="2">
        <v>1535.4</v>
      </c>
      <c r="N155" s="2">
        <v>15.831</v>
      </c>
    </row>
    <row r="156" spans="1:14" x14ac:dyDescent="0.3">
      <c r="A156" s="5">
        <v>60</v>
      </c>
      <c r="B156" s="2">
        <f t="shared" si="62"/>
        <v>1.2</v>
      </c>
      <c r="C156" s="2">
        <v>1.2951999999999999</v>
      </c>
      <c r="D156" s="5">
        <v>1751.9</v>
      </c>
      <c r="E156" s="2">
        <v>15.757999999999999</v>
      </c>
      <c r="F156" s="5">
        <f t="shared" si="60"/>
        <v>527.60502601853034</v>
      </c>
      <c r="G156" s="3">
        <f t="shared" si="61"/>
        <v>1442.7080280847383</v>
      </c>
      <c r="I156" s="2"/>
      <c r="J156" s="2">
        <v>33.012999999999998</v>
      </c>
      <c r="K156" s="2">
        <f t="shared" si="63"/>
        <v>1.2</v>
      </c>
      <c r="L156" s="2">
        <v>1.2777000000000001</v>
      </c>
      <c r="M156" s="2">
        <v>1543.7</v>
      </c>
      <c r="N156" s="2">
        <v>15.871</v>
      </c>
    </row>
    <row r="157" spans="1:14" x14ac:dyDescent="0.3">
      <c r="A157" s="5">
        <v>70</v>
      </c>
      <c r="B157" s="2">
        <f t="shared" si="62"/>
        <v>1.2</v>
      </c>
      <c r="C157" s="2">
        <v>1.2926</v>
      </c>
      <c r="D157" s="5">
        <v>1756.8</v>
      </c>
      <c r="E157" s="2">
        <v>15.782</v>
      </c>
      <c r="F157" s="5">
        <f t="shared" si="60"/>
        <v>526.80268660499303</v>
      </c>
      <c r="G157" s="3">
        <f t="shared" si="61"/>
        <v>1444.6483361650996</v>
      </c>
      <c r="I157" s="2"/>
      <c r="J157" s="2">
        <v>38.558999999999997</v>
      </c>
      <c r="K157" s="2">
        <f t="shared" si="63"/>
        <v>1.2</v>
      </c>
      <c r="L157" s="2">
        <v>1.2743</v>
      </c>
      <c r="M157" s="2">
        <v>1551.5</v>
      </c>
      <c r="N157" s="2">
        <v>15.907999999999999</v>
      </c>
    </row>
    <row r="158" spans="1:14" x14ac:dyDescent="0.3">
      <c r="A158" s="5">
        <v>80</v>
      </c>
      <c r="B158" s="2">
        <f t="shared" si="62"/>
        <v>1.2</v>
      </c>
      <c r="C158" s="2">
        <v>1.2903</v>
      </c>
      <c r="D158" s="5">
        <v>1761.8</v>
      </c>
      <c r="E158" s="2">
        <v>15.807</v>
      </c>
      <c r="F158" s="5">
        <f t="shared" si="60"/>
        <v>525.96950718036317</v>
      </c>
      <c r="G158" s="3">
        <f t="shared" si="61"/>
        <v>1446.4665195879352</v>
      </c>
      <c r="I158" s="2"/>
      <c r="J158" s="2">
        <v>44.107999999999997</v>
      </c>
      <c r="K158" s="2">
        <f t="shared" si="63"/>
        <v>1.2</v>
      </c>
      <c r="L158" s="2">
        <v>1.2715000000000001</v>
      </c>
      <c r="M158" s="2">
        <v>1558.8</v>
      </c>
      <c r="N158" s="2">
        <v>15.943</v>
      </c>
    </row>
    <row r="159" spans="1:14" x14ac:dyDescent="0.3">
      <c r="A159" s="5">
        <v>90</v>
      </c>
      <c r="B159" s="2">
        <f t="shared" si="62"/>
        <v>1.2</v>
      </c>
      <c r="C159" s="2">
        <v>1.2882</v>
      </c>
      <c r="D159" s="5">
        <v>1766.7</v>
      </c>
      <c r="E159" s="2">
        <v>15.831</v>
      </c>
      <c r="F159" s="5">
        <f t="shared" si="60"/>
        <v>525.17213062977703</v>
      </c>
      <c r="G159" s="3">
        <f t="shared" si="61"/>
        <v>1448.2103975075863</v>
      </c>
      <c r="I159" s="2"/>
      <c r="J159" s="2">
        <v>49.66</v>
      </c>
      <c r="K159" s="2">
        <f t="shared" si="63"/>
        <v>1.2</v>
      </c>
      <c r="L159" s="2">
        <v>1.2692000000000001</v>
      </c>
      <c r="M159" s="2">
        <v>1565.6</v>
      </c>
      <c r="N159" s="2">
        <v>15.977</v>
      </c>
    </row>
    <row r="160" spans="1:14" x14ac:dyDescent="0.3">
      <c r="A160" s="5">
        <v>100</v>
      </c>
      <c r="B160" s="2">
        <f t="shared" si="62"/>
        <v>1.2</v>
      </c>
      <c r="C160" s="2">
        <v>1.2863</v>
      </c>
      <c r="D160" s="5">
        <v>1771.5</v>
      </c>
      <c r="E160" s="2">
        <v>15.855</v>
      </c>
      <c r="F160" s="5">
        <f t="shared" si="60"/>
        <v>524.37716808577738</v>
      </c>
      <c r="G160" s="3">
        <f t="shared" si="61"/>
        <v>1449.833650336398</v>
      </c>
      <c r="I160" s="2"/>
      <c r="J160" s="2">
        <v>55.213000000000001</v>
      </c>
      <c r="K160" s="2">
        <f t="shared" si="63"/>
        <v>1.2</v>
      </c>
      <c r="L160" s="2">
        <v>1.2673000000000001</v>
      </c>
      <c r="M160" s="2">
        <v>1572</v>
      </c>
      <c r="N160" s="2">
        <v>16.009</v>
      </c>
    </row>
    <row r="161" spans="1:14" x14ac:dyDescent="0.3">
      <c r="A161" s="5">
        <v>10</v>
      </c>
      <c r="B161" s="2">
        <f t="shared" si="62"/>
        <v>1.4</v>
      </c>
      <c r="C161" s="2">
        <v>1.2661</v>
      </c>
      <c r="D161" s="5">
        <v>2257.8000000000002</v>
      </c>
      <c r="E161" s="2">
        <v>17.073</v>
      </c>
      <c r="F161" s="5">
        <f t="shared" si="60"/>
        <v>486.96772682012534</v>
      </c>
      <c r="G161" s="3">
        <f t="shared" si="61"/>
        <v>1586.1731975154721</v>
      </c>
      <c r="I161" s="2"/>
      <c r="J161" s="2">
        <v>5.4945000000000004</v>
      </c>
      <c r="K161" s="2">
        <f t="shared" si="63"/>
        <v>1.4</v>
      </c>
      <c r="L161" s="2">
        <v>1.2784</v>
      </c>
      <c r="M161" s="2">
        <v>1987.2</v>
      </c>
      <c r="N161" s="2">
        <v>17.084</v>
      </c>
    </row>
    <row r="162" spans="1:14" x14ac:dyDescent="0.3">
      <c r="A162" s="5">
        <v>20</v>
      </c>
      <c r="B162" s="2">
        <f t="shared" si="62"/>
        <v>1.4</v>
      </c>
      <c r="C162" s="2">
        <v>1.2690999999999999</v>
      </c>
      <c r="D162" s="5">
        <v>2260.5</v>
      </c>
      <c r="E162" s="2">
        <v>17.077000000000002</v>
      </c>
      <c r="F162" s="5">
        <f t="shared" si="60"/>
        <v>486.85366282133856</v>
      </c>
      <c r="G162" s="3">
        <f t="shared" si="61"/>
        <v>1585.6049479031672</v>
      </c>
      <c r="I162" s="2"/>
      <c r="J162" s="2">
        <v>10.986000000000001</v>
      </c>
      <c r="K162" s="2">
        <f t="shared" si="63"/>
        <v>1.4</v>
      </c>
      <c r="L162" s="2">
        <v>1.2795000000000001</v>
      </c>
      <c r="M162" s="2">
        <v>1987.6</v>
      </c>
      <c r="N162" s="2">
        <v>17.085000000000001</v>
      </c>
    </row>
    <row r="163" spans="1:14" x14ac:dyDescent="0.3">
      <c r="A163" s="5">
        <v>30</v>
      </c>
      <c r="B163" s="2">
        <f t="shared" si="62"/>
        <v>1.4</v>
      </c>
      <c r="C163" s="2">
        <v>1.2705</v>
      </c>
      <c r="D163" s="5">
        <v>2261.6999999999998</v>
      </c>
      <c r="E163" s="2">
        <v>17.079000000000001</v>
      </c>
      <c r="F163" s="5">
        <f t="shared" si="60"/>
        <v>486.79665085777856</v>
      </c>
      <c r="G163" s="3">
        <f t="shared" si="61"/>
        <v>1585.3135947264889</v>
      </c>
      <c r="I163" s="2"/>
      <c r="J163" s="2">
        <v>16.475999999999999</v>
      </c>
      <c r="K163" s="2">
        <f t="shared" si="63"/>
        <v>1.4</v>
      </c>
      <c r="L163" s="2">
        <v>1.2801</v>
      </c>
      <c r="M163" s="2">
        <v>1987.8</v>
      </c>
      <c r="N163" s="2">
        <v>17.085000000000001</v>
      </c>
    </row>
    <row r="164" spans="1:14" x14ac:dyDescent="0.3">
      <c r="A164" s="5">
        <v>40</v>
      </c>
      <c r="B164" s="2">
        <f t="shared" si="62"/>
        <v>1.4</v>
      </c>
      <c r="C164" s="2">
        <v>1.2714000000000001</v>
      </c>
      <c r="D164" s="5">
        <v>2262.5</v>
      </c>
      <c r="E164" s="2">
        <v>17.079999999999998</v>
      </c>
      <c r="F164" s="5">
        <f t="shared" si="60"/>
        <v>486.76814988290403</v>
      </c>
      <c r="G164" s="3">
        <f t="shared" si="61"/>
        <v>1585.1499311204452</v>
      </c>
      <c r="I164" s="2"/>
      <c r="J164" s="2">
        <v>21.966000000000001</v>
      </c>
      <c r="K164" s="2">
        <f t="shared" si="63"/>
        <v>1.4</v>
      </c>
      <c r="L164" s="2">
        <v>1.2804</v>
      </c>
      <c r="M164" s="2">
        <v>1987.9</v>
      </c>
      <c r="N164" s="2">
        <v>17.085999999999999</v>
      </c>
    </row>
    <row r="165" spans="1:14" x14ac:dyDescent="0.3">
      <c r="A165" s="5">
        <v>50</v>
      </c>
      <c r="B165" s="2">
        <f t="shared" si="62"/>
        <v>1.4</v>
      </c>
      <c r="C165" s="2">
        <v>1.272</v>
      </c>
      <c r="D165" s="5">
        <v>2263</v>
      </c>
      <c r="E165" s="2">
        <v>17.081</v>
      </c>
      <c r="F165" s="5">
        <f t="shared" si="60"/>
        <v>486.73965224518474</v>
      </c>
      <c r="G165" s="3">
        <f t="shared" si="61"/>
        <v>1585.013834671988</v>
      </c>
      <c r="I165" s="2"/>
      <c r="J165" s="2">
        <v>27.456</v>
      </c>
      <c r="K165" s="2">
        <f t="shared" si="63"/>
        <v>1.4</v>
      </c>
      <c r="L165" s="2">
        <v>1.2806</v>
      </c>
      <c r="M165" s="2">
        <v>1988</v>
      </c>
      <c r="N165" s="2">
        <v>17.085999999999999</v>
      </c>
    </row>
    <row r="166" spans="1:14" x14ac:dyDescent="0.3">
      <c r="A166" s="5">
        <v>60</v>
      </c>
      <c r="B166" s="2">
        <f t="shared" si="62"/>
        <v>1.4</v>
      </c>
      <c r="C166" s="2">
        <v>1.2724</v>
      </c>
      <c r="D166" s="5">
        <v>2263.4</v>
      </c>
      <c r="E166" s="2">
        <v>17.082000000000001</v>
      </c>
      <c r="F166" s="5">
        <f t="shared" ref="F166:F229" si="64">8.314/E166*1000</f>
        <v>486.71115794403465</v>
      </c>
      <c r="G166" s="3">
        <f t="shared" ref="G166:G229" si="65">SQRT(F166*D166/C166*((C166+1)/2)^((C166+1)/(C166-1)))</f>
        <v>1584.9310549584575</v>
      </c>
      <c r="I166" s="2"/>
      <c r="J166" s="2">
        <v>32.945</v>
      </c>
      <c r="K166" s="2">
        <f t="shared" si="63"/>
        <v>1.4</v>
      </c>
      <c r="L166" s="2">
        <v>1.2806999999999999</v>
      </c>
      <c r="M166" s="2">
        <v>1988.1</v>
      </c>
      <c r="N166" s="2">
        <v>17.085999999999999</v>
      </c>
    </row>
    <row r="167" spans="1:14" x14ac:dyDescent="0.3">
      <c r="A167" s="5">
        <v>70</v>
      </c>
      <c r="B167" s="2">
        <f t="shared" si="62"/>
        <v>1.4</v>
      </c>
      <c r="C167" s="2">
        <v>1.2726999999999999</v>
      </c>
      <c r="D167" s="5">
        <v>2263.6999999999998</v>
      </c>
      <c r="E167" s="2">
        <v>17.082999999999998</v>
      </c>
      <c r="F167" s="5">
        <f t="shared" si="64"/>
        <v>486.68266697886793</v>
      </c>
      <c r="G167" s="3">
        <f t="shared" si="65"/>
        <v>1584.8574073569373</v>
      </c>
      <c r="I167" s="2"/>
      <c r="J167" s="2">
        <v>38.435000000000002</v>
      </c>
      <c r="K167" s="2">
        <f t="shared" si="63"/>
        <v>1.4</v>
      </c>
      <c r="L167" s="2">
        <v>1.2807999999999999</v>
      </c>
      <c r="M167" s="2">
        <v>1988.2</v>
      </c>
      <c r="N167" s="2">
        <v>17.087</v>
      </c>
    </row>
    <row r="168" spans="1:14" x14ac:dyDescent="0.3">
      <c r="A168" s="5">
        <v>80</v>
      </c>
      <c r="B168" s="2">
        <f t="shared" si="62"/>
        <v>1.4</v>
      </c>
      <c r="C168" s="2">
        <v>1.2729999999999999</v>
      </c>
      <c r="D168" s="5">
        <v>2264</v>
      </c>
      <c r="E168" s="2">
        <v>17.082999999999998</v>
      </c>
      <c r="F168" s="5">
        <f t="shared" si="64"/>
        <v>486.68266697886793</v>
      </c>
      <c r="G168" s="3">
        <f t="shared" si="65"/>
        <v>1584.8301752461241</v>
      </c>
      <c r="I168" s="2"/>
      <c r="J168" s="2">
        <v>43.924999999999997</v>
      </c>
      <c r="K168" s="2">
        <f t="shared" si="63"/>
        <v>1.4</v>
      </c>
      <c r="L168" s="2">
        <v>1.2808999999999999</v>
      </c>
      <c r="M168" s="2">
        <v>1988.3</v>
      </c>
      <c r="N168" s="2">
        <v>17.087</v>
      </c>
    </row>
    <row r="169" spans="1:14" x14ac:dyDescent="0.3">
      <c r="A169" s="5">
        <v>90</v>
      </c>
      <c r="B169" s="2">
        <f t="shared" si="62"/>
        <v>1.4</v>
      </c>
      <c r="C169" s="2">
        <v>1.2732000000000001</v>
      </c>
      <c r="D169" s="5">
        <v>2264.3000000000002</v>
      </c>
      <c r="E169" s="2">
        <v>17.084</v>
      </c>
      <c r="F169" s="5">
        <f t="shared" si="64"/>
        <v>486.65417934909863</v>
      </c>
      <c r="G169" s="3">
        <f t="shared" si="65"/>
        <v>1584.8006469163251</v>
      </c>
      <c r="I169" s="2"/>
      <c r="J169" s="2">
        <v>49.414999999999999</v>
      </c>
      <c r="K169" s="2">
        <f t="shared" si="63"/>
        <v>1.4</v>
      </c>
      <c r="L169" s="2">
        <v>1.2809999999999999</v>
      </c>
      <c r="M169" s="2">
        <v>1988.4</v>
      </c>
      <c r="N169" s="2">
        <v>17.088000000000001</v>
      </c>
    </row>
    <row r="170" spans="1:14" x14ac:dyDescent="0.3">
      <c r="A170" s="5">
        <v>100</v>
      </c>
      <c r="B170" s="2">
        <f t="shared" si="62"/>
        <v>1.4</v>
      </c>
      <c r="C170" s="2">
        <v>1.2734000000000001</v>
      </c>
      <c r="D170" s="5">
        <v>2264.5</v>
      </c>
      <c r="E170" s="2">
        <v>17.084</v>
      </c>
      <c r="F170" s="5">
        <f t="shared" si="64"/>
        <v>486.65417934909863</v>
      </c>
      <c r="G170" s="3">
        <f t="shared" si="65"/>
        <v>1584.7825148743625</v>
      </c>
      <c r="I170" s="2"/>
      <c r="J170" s="2">
        <v>54.905000000000001</v>
      </c>
      <c r="K170" s="2">
        <f t="shared" si="63"/>
        <v>1.4</v>
      </c>
      <c r="L170" s="2">
        <v>1.2809999999999999</v>
      </c>
      <c r="M170" s="2">
        <v>1988.5</v>
      </c>
      <c r="N170" s="2">
        <v>17.088000000000001</v>
      </c>
    </row>
    <row r="171" spans="1:14" x14ac:dyDescent="0.3">
      <c r="A171" s="5">
        <v>10</v>
      </c>
      <c r="B171" s="2">
        <f t="shared" si="62"/>
        <v>1.5999999999999999</v>
      </c>
      <c r="C171" s="2">
        <v>1.2194</v>
      </c>
      <c r="D171" s="5">
        <v>2678.7</v>
      </c>
      <c r="E171" s="2">
        <v>18.411999999999999</v>
      </c>
      <c r="F171" s="5">
        <f t="shared" si="64"/>
        <v>451.55333478166415</v>
      </c>
      <c r="G171" s="3">
        <f t="shared" si="65"/>
        <v>1686.1186510700277</v>
      </c>
      <c r="I171" s="2"/>
      <c r="J171" s="2">
        <v>5.5711000000000004</v>
      </c>
      <c r="K171" s="2">
        <f t="shared" si="63"/>
        <v>1.5999999999999999</v>
      </c>
      <c r="L171" s="2">
        <v>1.2364999999999999</v>
      </c>
      <c r="M171" s="2">
        <v>2410.6999999999998</v>
      </c>
      <c r="N171" s="2">
        <v>18.47</v>
      </c>
    </row>
    <row r="172" spans="1:14" x14ac:dyDescent="0.3">
      <c r="A172" s="5">
        <v>20</v>
      </c>
      <c r="B172" s="2">
        <f t="shared" si="62"/>
        <v>1.5999999999999999</v>
      </c>
      <c r="C172" s="2">
        <v>1.2267999999999999</v>
      </c>
      <c r="D172" s="5">
        <v>2694.2</v>
      </c>
      <c r="E172" s="2">
        <v>18.436</v>
      </c>
      <c r="F172" s="5">
        <f t="shared" si="64"/>
        <v>450.96550227815146</v>
      </c>
      <c r="G172" s="3">
        <f t="shared" si="65"/>
        <v>1686.2365461077118</v>
      </c>
      <c r="I172" s="2"/>
      <c r="J172" s="2">
        <v>11.122999999999999</v>
      </c>
      <c r="K172" s="2">
        <f t="shared" si="63"/>
        <v>1.5999999999999999</v>
      </c>
      <c r="L172" s="2">
        <v>1.242</v>
      </c>
      <c r="M172" s="2">
        <v>2415.9</v>
      </c>
      <c r="N172" s="2">
        <v>18.481000000000002</v>
      </c>
    </row>
    <row r="173" spans="1:14" x14ac:dyDescent="0.3">
      <c r="A173" s="5">
        <v>30</v>
      </c>
      <c r="B173" s="2">
        <f t="shared" si="62"/>
        <v>1.5999999999999999</v>
      </c>
      <c r="C173" s="2">
        <v>1.2305999999999999</v>
      </c>
      <c r="D173" s="5">
        <v>2701.6</v>
      </c>
      <c r="E173" s="2">
        <v>18.448</v>
      </c>
      <c r="F173" s="5">
        <f t="shared" si="64"/>
        <v>450.67215958369474</v>
      </c>
      <c r="G173" s="3">
        <f t="shared" si="65"/>
        <v>1686.1376982013417</v>
      </c>
      <c r="I173" s="2"/>
      <c r="J173" s="2">
        <v>16.670000000000002</v>
      </c>
      <c r="K173" s="2">
        <f t="shared" si="63"/>
        <v>1.5999999999999999</v>
      </c>
      <c r="L173" s="2">
        <v>1.2445999999999999</v>
      </c>
      <c r="M173" s="2">
        <v>2418.3000000000002</v>
      </c>
      <c r="N173" s="2">
        <v>18.486000000000001</v>
      </c>
    </row>
    <row r="174" spans="1:14" x14ac:dyDescent="0.3">
      <c r="A174" s="5">
        <v>40</v>
      </c>
      <c r="B174" s="2">
        <f t="shared" si="62"/>
        <v>1.5999999999999999</v>
      </c>
      <c r="C174" s="2">
        <v>1.2331000000000001</v>
      </c>
      <c r="D174" s="5">
        <v>2706.3</v>
      </c>
      <c r="E174" s="2">
        <v>18.456</v>
      </c>
      <c r="F174" s="5">
        <f t="shared" si="64"/>
        <v>450.47680970957953</v>
      </c>
      <c r="G174" s="3">
        <f t="shared" si="65"/>
        <v>1686.0160600786025</v>
      </c>
      <c r="I174" s="2"/>
      <c r="J174" s="2">
        <v>22.216000000000001</v>
      </c>
      <c r="K174" s="2">
        <f t="shared" si="63"/>
        <v>1.5999999999999999</v>
      </c>
      <c r="L174" s="2">
        <v>1.2462</v>
      </c>
      <c r="M174" s="2">
        <v>2419.6999999999998</v>
      </c>
      <c r="N174" s="2">
        <v>18.489000000000001</v>
      </c>
    </row>
    <row r="175" spans="1:14" x14ac:dyDescent="0.3">
      <c r="A175" s="5">
        <v>50</v>
      </c>
      <c r="B175" s="2">
        <f t="shared" si="62"/>
        <v>1.5999999999999999</v>
      </c>
      <c r="C175" s="2">
        <v>1.2349000000000001</v>
      </c>
      <c r="D175" s="5">
        <v>2709.5</v>
      </c>
      <c r="E175" s="2">
        <v>18.460999999999999</v>
      </c>
      <c r="F175" s="5">
        <f t="shared" si="64"/>
        <v>450.35480201505879</v>
      </c>
      <c r="G175" s="3">
        <f t="shared" si="65"/>
        <v>1685.9063847676505</v>
      </c>
      <c r="I175" s="2"/>
      <c r="J175" s="2">
        <v>27.76</v>
      </c>
      <c r="K175" s="2">
        <f t="shared" si="63"/>
        <v>1.5999999999999999</v>
      </c>
      <c r="L175" s="2">
        <v>1.2473000000000001</v>
      </c>
      <c r="M175" s="2">
        <v>2420.6999999999998</v>
      </c>
      <c r="N175" s="2">
        <v>18.492000000000001</v>
      </c>
    </row>
    <row r="176" spans="1:14" x14ac:dyDescent="0.3">
      <c r="A176" s="5">
        <v>60</v>
      </c>
      <c r="B176" s="2">
        <f t="shared" ref="B176:B239" si="66">B166+0.2</f>
        <v>1.5999999999999999</v>
      </c>
      <c r="C176" s="2">
        <v>1.2362</v>
      </c>
      <c r="D176" s="5">
        <v>2712</v>
      </c>
      <c r="E176" s="2">
        <v>18.465</v>
      </c>
      <c r="F176" s="5">
        <f t="shared" si="64"/>
        <v>450.25724343352289</v>
      </c>
      <c r="G176" s="3">
        <f t="shared" si="65"/>
        <v>1685.8684389107143</v>
      </c>
      <c r="I176" s="2"/>
      <c r="J176" s="2">
        <v>33.302999999999997</v>
      </c>
      <c r="K176" s="2">
        <f t="shared" ref="K176:K239" si="67">K166+0.2</f>
        <v>1.5999999999999999</v>
      </c>
      <c r="L176" s="2">
        <v>1.2482</v>
      </c>
      <c r="M176" s="2">
        <v>2421.5</v>
      </c>
      <c r="N176" s="2">
        <v>18.492999999999999</v>
      </c>
    </row>
    <row r="177" spans="1:14" x14ac:dyDescent="0.3">
      <c r="A177" s="5">
        <v>70</v>
      </c>
      <c r="B177" s="2">
        <f t="shared" si="66"/>
        <v>1.5999999999999999</v>
      </c>
      <c r="C177" s="2">
        <v>1.2373000000000001</v>
      </c>
      <c r="D177" s="5">
        <v>2713.9</v>
      </c>
      <c r="E177" s="2">
        <v>18.468</v>
      </c>
      <c r="F177" s="5">
        <f t="shared" si="64"/>
        <v>450.18410223088586</v>
      </c>
      <c r="G177" s="3">
        <f t="shared" si="65"/>
        <v>1685.7871136315953</v>
      </c>
      <c r="I177" s="2"/>
      <c r="J177" s="2">
        <v>38.844999999999999</v>
      </c>
      <c r="K177" s="2">
        <f t="shared" si="67"/>
        <v>1.5999999999999999</v>
      </c>
      <c r="L177" s="2">
        <v>1.2487999999999999</v>
      </c>
      <c r="M177" s="2">
        <v>2422</v>
      </c>
      <c r="N177" s="2">
        <v>18.495000000000001</v>
      </c>
    </row>
    <row r="178" spans="1:14" x14ac:dyDescent="0.3">
      <c r="A178" s="5">
        <v>80</v>
      </c>
      <c r="B178" s="2">
        <f t="shared" si="66"/>
        <v>1.5999999999999999</v>
      </c>
      <c r="C178" s="2">
        <v>1.2382</v>
      </c>
      <c r="D178" s="5">
        <v>2715.5</v>
      </c>
      <c r="E178" s="2">
        <v>18.471</v>
      </c>
      <c r="F178" s="5">
        <f t="shared" si="64"/>
        <v>450.1109847869634</v>
      </c>
      <c r="G178" s="3">
        <f t="shared" si="65"/>
        <v>1685.7099475245791</v>
      </c>
      <c r="I178" s="2"/>
      <c r="J178" s="2">
        <v>44.386000000000003</v>
      </c>
      <c r="K178" s="2">
        <f t="shared" si="67"/>
        <v>1.5999999999999999</v>
      </c>
      <c r="L178" s="2">
        <v>1.2494000000000001</v>
      </c>
      <c r="M178" s="2">
        <v>2422.5</v>
      </c>
      <c r="N178" s="2">
        <v>18.495999999999999</v>
      </c>
    </row>
    <row r="179" spans="1:14" x14ac:dyDescent="0.3">
      <c r="A179" s="5">
        <v>90</v>
      </c>
      <c r="B179" s="2">
        <f t="shared" si="66"/>
        <v>1.5999999999999999</v>
      </c>
      <c r="C179" s="2">
        <v>1.2390000000000001</v>
      </c>
      <c r="D179" s="5">
        <v>2716.8</v>
      </c>
      <c r="E179" s="2">
        <v>18.472999999999999</v>
      </c>
      <c r="F179" s="5">
        <f t="shared" si="64"/>
        <v>450.06225301791807</v>
      </c>
      <c r="G179" s="3">
        <f t="shared" si="65"/>
        <v>1685.6339651202684</v>
      </c>
      <c r="I179" s="2"/>
      <c r="J179" s="2">
        <v>49.927999999999997</v>
      </c>
      <c r="K179" s="2">
        <f t="shared" si="67"/>
        <v>1.5999999999999999</v>
      </c>
      <c r="L179" s="2">
        <v>1.2498</v>
      </c>
      <c r="M179" s="2">
        <v>2422.9</v>
      </c>
      <c r="N179" s="2">
        <v>18.497</v>
      </c>
    </row>
    <row r="180" spans="1:14" x14ac:dyDescent="0.3">
      <c r="A180" s="5">
        <v>100</v>
      </c>
      <c r="B180" s="2">
        <f t="shared" si="66"/>
        <v>1.5999999999999999</v>
      </c>
      <c r="C180" s="2">
        <v>1.2396</v>
      </c>
      <c r="D180" s="5">
        <v>2717.9</v>
      </c>
      <c r="E180" s="2">
        <v>18.475000000000001</v>
      </c>
      <c r="F180" s="5">
        <f t="shared" si="64"/>
        <v>450.01353179972932</v>
      </c>
      <c r="G180" s="3">
        <f t="shared" si="65"/>
        <v>1685.5930189108512</v>
      </c>
      <c r="I180" s="2"/>
      <c r="J180" s="2">
        <v>55.468000000000004</v>
      </c>
      <c r="K180" s="2">
        <f t="shared" si="67"/>
        <v>1.5999999999999999</v>
      </c>
      <c r="L180" s="2">
        <v>1.2502</v>
      </c>
      <c r="M180" s="2">
        <v>2423.1999999999998</v>
      </c>
      <c r="N180" s="2">
        <v>18.497</v>
      </c>
    </row>
    <row r="181" spans="1:14" x14ac:dyDescent="0.3">
      <c r="A181" s="5">
        <v>10</v>
      </c>
      <c r="B181" s="2">
        <f t="shared" si="66"/>
        <v>1.7999999999999998</v>
      </c>
      <c r="C181" s="2">
        <v>1.1808000000000001</v>
      </c>
      <c r="D181" s="5">
        <v>2983.4</v>
      </c>
      <c r="E181" s="2">
        <v>19.614000000000001</v>
      </c>
      <c r="F181" s="5">
        <f t="shared" si="64"/>
        <v>423.88090139696135</v>
      </c>
      <c r="G181" s="3">
        <f t="shared" si="65"/>
        <v>1744.0892903427398</v>
      </c>
      <c r="I181" s="2"/>
      <c r="J181" s="2">
        <v>5.6542000000000003</v>
      </c>
      <c r="K181" s="2">
        <f t="shared" si="67"/>
        <v>1.7999999999999998</v>
      </c>
      <c r="L181" s="2">
        <v>1.1937</v>
      </c>
      <c r="M181" s="2">
        <v>2746.5</v>
      </c>
      <c r="N181" s="2">
        <v>19.751999999999999</v>
      </c>
    </row>
    <row r="182" spans="1:14" x14ac:dyDescent="0.3">
      <c r="A182" s="5">
        <v>20</v>
      </c>
      <c r="B182" s="2">
        <f t="shared" si="66"/>
        <v>1.7999999999999998</v>
      </c>
      <c r="C182" s="2">
        <v>1.1893</v>
      </c>
      <c r="D182" s="5">
        <v>3021</v>
      </c>
      <c r="E182" s="2">
        <v>19.678999999999998</v>
      </c>
      <c r="F182" s="5">
        <f t="shared" si="64"/>
        <v>422.48081711469081</v>
      </c>
      <c r="G182" s="3">
        <f t="shared" si="65"/>
        <v>1747.6207203076829</v>
      </c>
      <c r="I182" s="2"/>
      <c r="J182" s="2">
        <v>11.275</v>
      </c>
      <c r="K182" s="2">
        <f t="shared" si="67"/>
        <v>1.7999999999999998</v>
      </c>
      <c r="L182" s="2">
        <v>1.2021999999999999</v>
      </c>
      <c r="M182" s="2">
        <v>2767</v>
      </c>
      <c r="N182" s="2">
        <v>19.795000000000002</v>
      </c>
    </row>
    <row r="183" spans="1:14" x14ac:dyDescent="0.3">
      <c r="A183" s="5">
        <v>30</v>
      </c>
      <c r="B183" s="2">
        <f t="shared" si="66"/>
        <v>1.7999999999999998</v>
      </c>
      <c r="C183" s="2">
        <v>1.1940999999999999</v>
      </c>
      <c r="D183" s="5">
        <v>3040.4</v>
      </c>
      <c r="E183" s="2">
        <v>19.713000000000001</v>
      </c>
      <c r="F183" s="5">
        <f t="shared" si="64"/>
        <v>421.7521432557196</v>
      </c>
      <c r="G183" s="3">
        <f t="shared" si="65"/>
        <v>1749.1728772289728</v>
      </c>
      <c r="I183" s="2"/>
      <c r="J183" s="2">
        <v>16.885999999999999</v>
      </c>
      <c r="K183" s="2">
        <f t="shared" si="67"/>
        <v>1.7999999999999998</v>
      </c>
      <c r="L183" s="2">
        <v>1.2068000000000001</v>
      </c>
      <c r="M183" s="2">
        <v>2776.9</v>
      </c>
      <c r="N183" s="2">
        <v>19.817</v>
      </c>
    </row>
    <row r="184" spans="1:14" x14ac:dyDescent="0.3">
      <c r="A184" s="5">
        <v>40</v>
      </c>
      <c r="B184" s="2">
        <f t="shared" si="66"/>
        <v>1.7999999999999998</v>
      </c>
      <c r="C184" s="2">
        <v>1.1974</v>
      </c>
      <c r="D184" s="5">
        <v>3053.1</v>
      </c>
      <c r="E184" s="2">
        <v>19.734999999999999</v>
      </c>
      <c r="F184" s="5">
        <f t="shared" si="64"/>
        <v>421.28198631872311</v>
      </c>
      <c r="G184" s="3">
        <f t="shared" si="65"/>
        <v>1750.1072269382139</v>
      </c>
      <c r="I184" s="2"/>
      <c r="J184" s="2">
        <v>22.492000000000001</v>
      </c>
      <c r="K184" s="2">
        <f t="shared" si="67"/>
        <v>1.7999999999999998</v>
      </c>
      <c r="L184" s="2">
        <v>1.2099</v>
      </c>
      <c r="M184" s="2">
        <v>2783.2</v>
      </c>
      <c r="N184" s="2">
        <v>19.829999999999998</v>
      </c>
    </row>
    <row r="185" spans="1:14" x14ac:dyDescent="0.3">
      <c r="A185" s="5">
        <v>50</v>
      </c>
      <c r="B185" s="2">
        <f t="shared" si="66"/>
        <v>1.7999999999999998</v>
      </c>
      <c r="C185" s="2">
        <v>1.1999</v>
      </c>
      <c r="D185" s="5">
        <v>3062.2</v>
      </c>
      <c r="E185" s="2">
        <v>19.751000000000001</v>
      </c>
      <c r="F185" s="5">
        <f t="shared" si="64"/>
        <v>420.94071186269048</v>
      </c>
      <c r="G185" s="3">
        <f t="shared" si="65"/>
        <v>1750.6905657014306</v>
      </c>
      <c r="I185" s="2"/>
      <c r="J185" s="2">
        <v>28.093</v>
      </c>
      <c r="K185" s="2">
        <f t="shared" si="67"/>
        <v>1.7999999999999998</v>
      </c>
      <c r="L185" s="2">
        <v>1.2121</v>
      </c>
      <c r="M185" s="2">
        <v>2787.6</v>
      </c>
      <c r="N185" s="2">
        <v>19.84</v>
      </c>
    </row>
    <row r="186" spans="1:14" x14ac:dyDescent="0.3">
      <c r="A186" s="5">
        <v>60</v>
      </c>
      <c r="B186" s="2">
        <f t="shared" si="66"/>
        <v>1.7999999999999998</v>
      </c>
      <c r="C186" s="2">
        <v>1.2019</v>
      </c>
      <c r="D186" s="5">
        <v>3069.3</v>
      </c>
      <c r="E186" s="2">
        <v>19.763999999999999</v>
      </c>
      <c r="F186" s="5">
        <f t="shared" si="64"/>
        <v>420.66383323213921</v>
      </c>
      <c r="G186" s="3">
        <f t="shared" si="65"/>
        <v>1751.094467568252</v>
      </c>
      <c r="I186" s="2"/>
      <c r="J186" s="2">
        <v>33.692</v>
      </c>
      <c r="K186" s="2">
        <f t="shared" si="67"/>
        <v>1.7999999999999998</v>
      </c>
      <c r="L186" s="2">
        <v>1.2139</v>
      </c>
      <c r="M186" s="2">
        <v>2791</v>
      </c>
      <c r="N186" s="2">
        <v>19.847000000000001</v>
      </c>
    </row>
    <row r="187" spans="1:14" x14ac:dyDescent="0.3">
      <c r="A187" s="5">
        <v>70</v>
      </c>
      <c r="B187" s="2">
        <f t="shared" si="66"/>
        <v>1.7999999999999998</v>
      </c>
      <c r="C187" s="2">
        <v>1.2035</v>
      </c>
      <c r="D187" s="5">
        <v>3075</v>
      </c>
      <c r="E187" s="2">
        <v>19.774000000000001</v>
      </c>
      <c r="F187" s="5">
        <f t="shared" si="64"/>
        <v>420.45109740062708</v>
      </c>
      <c r="G187" s="3">
        <f t="shared" si="65"/>
        <v>1751.4395284737245</v>
      </c>
      <c r="I187" s="2"/>
      <c r="J187" s="2">
        <v>39.289000000000001</v>
      </c>
      <c r="K187" s="2">
        <f t="shared" si="67"/>
        <v>1.7999999999999998</v>
      </c>
      <c r="L187" s="2">
        <v>1.2153</v>
      </c>
      <c r="M187" s="2">
        <v>2793.6</v>
      </c>
      <c r="N187" s="2">
        <v>19.853000000000002</v>
      </c>
    </row>
    <row r="188" spans="1:14" x14ac:dyDescent="0.3">
      <c r="A188" s="5">
        <v>80</v>
      </c>
      <c r="B188" s="2">
        <f t="shared" si="66"/>
        <v>1.7999999999999998</v>
      </c>
      <c r="C188" s="2">
        <v>1.2049000000000001</v>
      </c>
      <c r="D188" s="5">
        <v>3079.7</v>
      </c>
      <c r="E188" s="2">
        <v>19.782</v>
      </c>
      <c r="F188" s="5">
        <f t="shared" si="64"/>
        <v>420.28106359316553</v>
      </c>
      <c r="G188" s="3">
        <f t="shared" si="65"/>
        <v>1751.6918103596572</v>
      </c>
      <c r="I188" s="2"/>
      <c r="J188" s="2">
        <v>44.884</v>
      </c>
      <c r="K188" s="2">
        <f t="shared" si="67"/>
        <v>1.7999999999999998</v>
      </c>
      <c r="L188" s="2">
        <v>1.2163999999999999</v>
      </c>
      <c r="M188" s="2">
        <v>2795.8</v>
      </c>
      <c r="N188" s="2">
        <v>19.856999999999999</v>
      </c>
    </row>
    <row r="189" spans="1:14" x14ac:dyDescent="0.3">
      <c r="A189" s="5">
        <v>90</v>
      </c>
      <c r="B189" s="2">
        <f t="shared" si="66"/>
        <v>1.7999999999999998</v>
      </c>
      <c r="C189" s="2">
        <v>1.2060999999999999</v>
      </c>
      <c r="D189" s="5">
        <v>3083.7</v>
      </c>
      <c r="E189" s="2">
        <v>19.789000000000001</v>
      </c>
      <c r="F189" s="5">
        <f t="shared" si="64"/>
        <v>420.13239678609324</v>
      </c>
      <c r="G189" s="3">
        <f t="shared" si="65"/>
        <v>1751.8929745135374</v>
      </c>
      <c r="I189" s="2"/>
      <c r="J189" s="2">
        <v>50.478000000000002</v>
      </c>
      <c r="K189" s="2">
        <f t="shared" si="67"/>
        <v>1.7999999999999998</v>
      </c>
      <c r="L189" s="2">
        <v>1.2174</v>
      </c>
      <c r="M189" s="2">
        <v>2797.6</v>
      </c>
      <c r="N189" s="2">
        <v>19.861000000000001</v>
      </c>
    </row>
    <row r="190" spans="1:14" x14ac:dyDescent="0.3">
      <c r="A190" s="5">
        <v>100</v>
      </c>
      <c r="B190" s="2">
        <f t="shared" si="66"/>
        <v>1.7999999999999998</v>
      </c>
      <c r="C190" s="2">
        <v>1.2071000000000001</v>
      </c>
      <c r="D190" s="5">
        <v>3087.1</v>
      </c>
      <c r="E190" s="2">
        <v>19.795000000000002</v>
      </c>
      <c r="F190" s="5">
        <f t="shared" si="64"/>
        <v>420.00505178075269</v>
      </c>
      <c r="G190" s="3">
        <f t="shared" si="65"/>
        <v>1752.07172224339</v>
      </c>
      <c r="I190" s="2"/>
      <c r="J190" s="2">
        <v>56.07</v>
      </c>
      <c r="K190" s="2">
        <f t="shared" si="67"/>
        <v>1.7999999999999998</v>
      </c>
      <c r="L190" s="2">
        <v>1.2182999999999999</v>
      </c>
      <c r="M190" s="2">
        <v>2799.2</v>
      </c>
      <c r="N190" s="2">
        <v>19.864999999999998</v>
      </c>
    </row>
    <row r="191" spans="1:14" x14ac:dyDescent="0.3">
      <c r="A191" s="5">
        <v>10</v>
      </c>
      <c r="B191" s="2">
        <f t="shared" si="66"/>
        <v>1.9999999999999998</v>
      </c>
      <c r="C191" s="2">
        <v>1.1545000000000001</v>
      </c>
      <c r="D191" s="5">
        <v>3183.8</v>
      </c>
      <c r="E191" s="2">
        <v>20.661999999999999</v>
      </c>
      <c r="F191" s="5">
        <f t="shared" si="64"/>
        <v>402.38118284773981</v>
      </c>
      <c r="G191" s="3">
        <f t="shared" si="65"/>
        <v>1769.7882446628603</v>
      </c>
      <c r="I191" s="2"/>
      <c r="J191" s="2">
        <v>5.7214</v>
      </c>
      <c r="K191" s="2">
        <f t="shared" si="67"/>
        <v>1.9999999999999998</v>
      </c>
      <c r="L191" s="2">
        <v>1.1604000000000001</v>
      </c>
      <c r="M191" s="2">
        <v>2982.7</v>
      </c>
      <c r="N191" s="2">
        <v>20.882000000000001</v>
      </c>
    </row>
    <row r="192" spans="1:14" x14ac:dyDescent="0.3">
      <c r="A192" s="5">
        <v>20</v>
      </c>
      <c r="B192" s="2">
        <f t="shared" si="66"/>
        <v>1.9999999999999998</v>
      </c>
      <c r="C192" s="2">
        <v>1.1617999999999999</v>
      </c>
      <c r="D192" s="5">
        <v>3244.8</v>
      </c>
      <c r="E192" s="2">
        <v>20.774999999999999</v>
      </c>
      <c r="F192" s="5">
        <f t="shared" si="64"/>
        <v>400.19253910950664</v>
      </c>
      <c r="G192" s="3">
        <f t="shared" si="65"/>
        <v>1777.7303894589049</v>
      </c>
      <c r="I192" s="2"/>
      <c r="J192" s="2">
        <v>11.409000000000001</v>
      </c>
      <c r="K192" s="2">
        <f t="shared" si="67"/>
        <v>1.9999999999999998</v>
      </c>
      <c r="L192" s="2">
        <v>1.1687000000000001</v>
      </c>
      <c r="M192" s="2">
        <v>3025.5</v>
      </c>
      <c r="N192" s="2">
        <v>20.972000000000001</v>
      </c>
    </row>
    <row r="193" spans="1:14" x14ac:dyDescent="0.3">
      <c r="A193" s="5">
        <v>30</v>
      </c>
      <c r="B193" s="2">
        <f t="shared" si="66"/>
        <v>1.9999999999999998</v>
      </c>
      <c r="C193" s="2">
        <v>1.1661999999999999</v>
      </c>
      <c r="D193" s="5">
        <v>3278.3</v>
      </c>
      <c r="E193" s="2">
        <v>20.837</v>
      </c>
      <c r="F193" s="5">
        <f t="shared" si="64"/>
        <v>399.00177568747904</v>
      </c>
      <c r="G193" s="3">
        <f t="shared" si="65"/>
        <v>1781.7834577297974</v>
      </c>
      <c r="I193" s="2"/>
      <c r="J193" s="2">
        <v>17.085000000000001</v>
      </c>
      <c r="K193" s="2">
        <f t="shared" si="67"/>
        <v>1.9999999999999998</v>
      </c>
      <c r="L193" s="2">
        <v>1.1736</v>
      </c>
      <c r="M193" s="2">
        <v>3048</v>
      </c>
      <c r="N193" s="2">
        <v>21.021000000000001</v>
      </c>
    </row>
    <row r="194" spans="1:14" x14ac:dyDescent="0.3">
      <c r="A194" s="5">
        <v>40</v>
      </c>
      <c r="B194" s="2">
        <f t="shared" si="66"/>
        <v>1.9999999999999998</v>
      </c>
      <c r="C194" s="2">
        <v>1.1693</v>
      </c>
      <c r="D194" s="5">
        <v>3300.9</v>
      </c>
      <c r="E194" s="2">
        <v>20.879000000000001</v>
      </c>
      <c r="F194" s="5">
        <f t="shared" si="64"/>
        <v>398.19914746874844</v>
      </c>
      <c r="G194" s="3">
        <f t="shared" si="65"/>
        <v>1784.4011143151392</v>
      </c>
      <c r="I194" s="2"/>
      <c r="J194" s="2">
        <v>22.751999999999999</v>
      </c>
      <c r="K194" s="2">
        <f t="shared" si="67"/>
        <v>1.9999999999999998</v>
      </c>
      <c r="L194" s="2">
        <v>1.1771</v>
      </c>
      <c r="M194" s="2">
        <v>3062.7</v>
      </c>
      <c r="N194" s="2">
        <v>21.052</v>
      </c>
    </row>
    <row r="195" spans="1:14" x14ac:dyDescent="0.3">
      <c r="A195" s="5">
        <v>50</v>
      </c>
      <c r="B195" s="2">
        <f t="shared" si="66"/>
        <v>1.9999999999999998</v>
      </c>
      <c r="C195" s="2">
        <v>1.1718</v>
      </c>
      <c r="D195" s="5">
        <v>3317.7</v>
      </c>
      <c r="E195" s="2">
        <v>20.91</v>
      </c>
      <c r="F195" s="5">
        <f t="shared" si="64"/>
        <v>397.6087996174079</v>
      </c>
      <c r="G195" s="3">
        <f t="shared" si="65"/>
        <v>1786.2300060703574</v>
      </c>
      <c r="I195" s="2"/>
      <c r="J195" s="2">
        <v>28.414000000000001</v>
      </c>
      <c r="K195" s="2">
        <f t="shared" si="67"/>
        <v>1.9999999999999998</v>
      </c>
      <c r="L195" s="2">
        <v>1.1797</v>
      </c>
      <c r="M195" s="2">
        <v>3073.5</v>
      </c>
      <c r="N195" s="2">
        <v>21.076000000000001</v>
      </c>
    </row>
    <row r="196" spans="1:14" x14ac:dyDescent="0.3">
      <c r="A196" s="5">
        <v>60</v>
      </c>
      <c r="B196" s="2">
        <f t="shared" si="66"/>
        <v>1.9999999999999998</v>
      </c>
      <c r="C196" s="2">
        <v>1.1738</v>
      </c>
      <c r="D196" s="5">
        <v>3331</v>
      </c>
      <c r="E196" s="2">
        <v>20.934999999999999</v>
      </c>
      <c r="F196" s="5">
        <f t="shared" si="64"/>
        <v>397.13398614759978</v>
      </c>
      <c r="G196" s="3">
        <f t="shared" si="65"/>
        <v>1787.6358990060521</v>
      </c>
      <c r="I196" s="2"/>
      <c r="J196" s="2">
        <v>34.070999999999998</v>
      </c>
      <c r="K196" s="2">
        <f t="shared" si="67"/>
        <v>1.9999999999999998</v>
      </c>
      <c r="L196" s="2">
        <v>1.1818</v>
      </c>
      <c r="M196" s="2">
        <v>3081.8</v>
      </c>
      <c r="N196" s="2">
        <v>21.094000000000001</v>
      </c>
    </row>
    <row r="197" spans="1:14" x14ac:dyDescent="0.3">
      <c r="A197" s="5">
        <v>70</v>
      </c>
      <c r="B197" s="2">
        <f t="shared" si="66"/>
        <v>1.9999999999999998</v>
      </c>
      <c r="C197" s="2">
        <v>1.1755</v>
      </c>
      <c r="D197" s="5">
        <v>3341.9</v>
      </c>
      <c r="E197" s="2">
        <v>20.956</v>
      </c>
      <c r="F197" s="5">
        <f t="shared" si="64"/>
        <v>396.73601832410765</v>
      </c>
      <c r="G197" s="3">
        <f t="shared" si="65"/>
        <v>1788.725687177694</v>
      </c>
      <c r="I197" s="2"/>
      <c r="J197" s="2">
        <v>39.725999999999999</v>
      </c>
      <c r="K197" s="2">
        <f t="shared" si="67"/>
        <v>1.9999999999999998</v>
      </c>
      <c r="L197" s="2">
        <v>1.1836</v>
      </c>
      <c r="M197" s="2">
        <v>3088.5</v>
      </c>
      <c r="N197" s="2">
        <v>21.109000000000002</v>
      </c>
    </row>
    <row r="198" spans="1:14" x14ac:dyDescent="0.3">
      <c r="A198" s="5">
        <v>80</v>
      </c>
      <c r="B198" s="2">
        <f t="shared" si="66"/>
        <v>1.9999999999999998</v>
      </c>
      <c r="C198" s="2">
        <v>1.1769000000000001</v>
      </c>
      <c r="D198" s="5">
        <v>3351</v>
      </c>
      <c r="E198" s="2">
        <v>20.972999999999999</v>
      </c>
      <c r="F198" s="5">
        <f t="shared" si="64"/>
        <v>396.41443761026085</v>
      </c>
      <c r="G198" s="3">
        <f t="shared" si="65"/>
        <v>1789.66398127465</v>
      </c>
      <c r="I198" s="2"/>
      <c r="J198" s="2">
        <v>45.377000000000002</v>
      </c>
      <c r="K198" s="2">
        <f t="shared" si="67"/>
        <v>1.9999999999999998</v>
      </c>
      <c r="L198" s="2">
        <v>1.1851</v>
      </c>
      <c r="M198" s="2">
        <v>3094.1</v>
      </c>
      <c r="N198" s="2">
        <v>21.120999999999999</v>
      </c>
    </row>
    <row r="199" spans="1:14" x14ac:dyDescent="0.3">
      <c r="A199" s="5">
        <v>90</v>
      </c>
      <c r="B199" s="2">
        <f t="shared" si="66"/>
        <v>1.9999999999999998</v>
      </c>
      <c r="C199" s="2">
        <v>1.1781999999999999</v>
      </c>
      <c r="D199" s="5">
        <v>3358.9</v>
      </c>
      <c r="E199" s="2">
        <v>20.988</v>
      </c>
      <c r="F199" s="5">
        <f t="shared" si="64"/>
        <v>396.13112254621689</v>
      </c>
      <c r="G199" s="3">
        <f t="shared" si="65"/>
        <v>1790.4182645145329</v>
      </c>
      <c r="I199" s="2"/>
      <c r="J199" s="2">
        <v>51.026000000000003</v>
      </c>
      <c r="K199" s="2">
        <f t="shared" si="67"/>
        <v>1.9999999999999998</v>
      </c>
      <c r="L199" s="2">
        <v>1.1863999999999999</v>
      </c>
      <c r="M199" s="2">
        <v>3098.9</v>
      </c>
      <c r="N199" s="2">
        <v>21.131</v>
      </c>
    </row>
    <row r="200" spans="1:14" x14ac:dyDescent="0.3">
      <c r="A200" s="5">
        <v>100</v>
      </c>
      <c r="B200" s="2">
        <f t="shared" si="66"/>
        <v>1.9999999999999998</v>
      </c>
      <c r="C200" s="2">
        <v>1.1793</v>
      </c>
      <c r="D200" s="5">
        <v>3365.8</v>
      </c>
      <c r="E200" s="2">
        <v>21.001000000000001</v>
      </c>
      <c r="F200" s="5">
        <f t="shared" si="64"/>
        <v>395.88591019475263</v>
      </c>
      <c r="G200" s="3">
        <f t="shared" si="65"/>
        <v>1791.0981929114334</v>
      </c>
      <c r="I200" s="2"/>
      <c r="J200" s="2">
        <v>56.673000000000002</v>
      </c>
      <c r="K200" s="2">
        <f t="shared" si="67"/>
        <v>1.9999999999999998</v>
      </c>
      <c r="L200" s="2">
        <v>1.1875</v>
      </c>
      <c r="M200" s="2">
        <v>3103</v>
      </c>
      <c r="N200" s="2">
        <v>21.14</v>
      </c>
    </row>
    <row r="201" spans="1:14" x14ac:dyDescent="0.3">
      <c r="A201" s="5">
        <v>10</v>
      </c>
      <c r="B201" s="2">
        <f t="shared" si="66"/>
        <v>2.1999999999999997</v>
      </c>
      <c r="C201" s="2">
        <v>1.1389</v>
      </c>
      <c r="D201" s="5">
        <v>3301.8</v>
      </c>
      <c r="E201" s="2">
        <v>21.561</v>
      </c>
      <c r="F201" s="5">
        <f t="shared" si="64"/>
        <v>385.60363619498168</v>
      </c>
      <c r="G201" s="3">
        <f t="shared" si="65"/>
        <v>1773.0544928606137</v>
      </c>
      <c r="I201" s="2"/>
      <c r="J201" s="2">
        <v>5.7653999999999996</v>
      </c>
      <c r="K201" s="2">
        <f t="shared" si="67"/>
        <v>2.1999999999999997</v>
      </c>
      <c r="L201" s="2">
        <v>1.1393</v>
      </c>
      <c r="M201" s="2">
        <v>3128</v>
      </c>
      <c r="N201" s="2">
        <v>21.844999999999999</v>
      </c>
    </row>
    <row r="202" spans="1:14" x14ac:dyDescent="0.3">
      <c r="A202" s="5">
        <v>20</v>
      </c>
      <c r="B202" s="2">
        <f t="shared" si="66"/>
        <v>2.1999999999999997</v>
      </c>
      <c r="C202" s="2">
        <v>1.1444000000000001</v>
      </c>
      <c r="D202" s="5">
        <v>3381.6</v>
      </c>
      <c r="E202" s="2">
        <v>21.716000000000001</v>
      </c>
      <c r="F202" s="5">
        <f t="shared" si="64"/>
        <v>382.85135384048624</v>
      </c>
      <c r="G202" s="3">
        <f t="shared" si="65"/>
        <v>1784.8076258944441</v>
      </c>
      <c r="I202" s="2"/>
      <c r="J202" s="2">
        <v>11.505000000000001</v>
      </c>
      <c r="K202" s="2">
        <f t="shared" si="67"/>
        <v>2.1999999999999997</v>
      </c>
      <c r="L202" s="2">
        <v>1.1456</v>
      </c>
      <c r="M202" s="2">
        <v>3192</v>
      </c>
      <c r="N202" s="2">
        <v>21.984000000000002</v>
      </c>
    </row>
    <row r="203" spans="1:14" x14ac:dyDescent="0.3">
      <c r="A203" s="5">
        <v>30</v>
      </c>
      <c r="B203" s="2">
        <f t="shared" si="66"/>
        <v>2.1999999999999997</v>
      </c>
      <c r="C203" s="2">
        <v>1.1478999999999999</v>
      </c>
      <c r="D203" s="5">
        <v>3427.1</v>
      </c>
      <c r="E203" s="2">
        <v>21.806000000000001</v>
      </c>
      <c r="F203" s="5">
        <f t="shared" si="64"/>
        <v>381.27120975878199</v>
      </c>
      <c r="G203" s="3">
        <f t="shared" si="65"/>
        <v>1791.074785722155</v>
      </c>
      <c r="I203" s="2"/>
      <c r="J203" s="2">
        <v>17.233000000000001</v>
      </c>
      <c r="K203" s="2">
        <f t="shared" si="67"/>
        <v>2.1999999999999997</v>
      </c>
      <c r="L203" s="2">
        <v>1.1495</v>
      </c>
      <c r="M203" s="2">
        <v>3227.7</v>
      </c>
      <c r="N203" s="2">
        <v>22.062999999999999</v>
      </c>
    </row>
    <row r="204" spans="1:14" x14ac:dyDescent="0.3">
      <c r="A204" s="5">
        <v>40</v>
      </c>
      <c r="B204" s="2">
        <f t="shared" si="66"/>
        <v>2.1999999999999997</v>
      </c>
      <c r="C204" s="2">
        <v>1.1504000000000001</v>
      </c>
      <c r="D204" s="5">
        <v>3458.7</v>
      </c>
      <c r="E204" s="2">
        <v>21.867999999999999</v>
      </c>
      <c r="F204" s="5">
        <f t="shared" si="64"/>
        <v>380.19023230290838</v>
      </c>
      <c r="G204" s="3">
        <f t="shared" si="65"/>
        <v>1795.3419015740037</v>
      </c>
      <c r="I204" s="2"/>
      <c r="J204" s="2">
        <v>22.952999999999999</v>
      </c>
      <c r="K204" s="2">
        <f t="shared" si="67"/>
        <v>2.1999999999999997</v>
      </c>
      <c r="L204" s="2">
        <v>1.1524000000000001</v>
      </c>
      <c r="M204" s="2">
        <v>3252</v>
      </c>
      <c r="N204" s="2">
        <v>22.117000000000001</v>
      </c>
    </row>
    <row r="205" spans="1:14" x14ac:dyDescent="0.3">
      <c r="A205" s="5">
        <v>50</v>
      </c>
      <c r="B205" s="2">
        <f t="shared" si="66"/>
        <v>2.1999999999999997</v>
      </c>
      <c r="C205" s="2">
        <v>1.1523000000000001</v>
      </c>
      <c r="D205" s="5">
        <v>3482.8</v>
      </c>
      <c r="E205" s="2">
        <v>21.916</v>
      </c>
      <c r="F205" s="5">
        <f t="shared" si="64"/>
        <v>379.35754699762731</v>
      </c>
      <c r="G205" s="3">
        <f t="shared" si="65"/>
        <v>1798.5344050689332</v>
      </c>
      <c r="I205" s="2"/>
      <c r="J205" s="2">
        <v>28.667999999999999</v>
      </c>
      <c r="K205" s="2">
        <f t="shared" si="67"/>
        <v>2.1999999999999997</v>
      </c>
      <c r="L205" s="2">
        <v>1.1547000000000001</v>
      </c>
      <c r="M205" s="2">
        <v>3270.3</v>
      </c>
      <c r="N205" s="2">
        <v>22.157</v>
      </c>
    </row>
    <row r="206" spans="1:14" x14ac:dyDescent="0.3">
      <c r="A206" s="5">
        <v>60</v>
      </c>
      <c r="B206" s="2">
        <f t="shared" si="66"/>
        <v>2.1999999999999997</v>
      </c>
      <c r="C206" s="2">
        <v>1.1539999999999999</v>
      </c>
      <c r="D206" s="5">
        <v>3502.1</v>
      </c>
      <c r="E206" s="2">
        <v>21.954000000000001</v>
      </c>
      <c r="F206" s="5">
        <f t="shared" si="64"/>
        <v>378.70092010567549</v>
      </c>
      <c r="G206" s="3">
        <f t="shared" si="65"/>
        <v>1800.9857535080496</v>
      </c>
      <c r="I206" s="2"/>
      <c r="J206" s="2">
        <v>34.378999999999998</v>
      </c>
      <c r="K206" s="2">
        <f t="shared" si="67"/>
        <v>2.1999999999999997</v>
      </c>
      <c r="L206" s="2">
        <v>1.1566000000000001</v>
      </c>
      <c r="M206" s="2">
        <v>3284.8</v>
      </c>
      <c r="N206" s="2">
        <v>22.189</v>
      </c>
    </row>
    <row r="207" spans="1:14" x14ac:dyDescent="0.3">
      <c r="A207" s="5">
        <v>70</v>
      </c>
      <c r="B207" s="2">
        <f t="shared" si="66"/>
        <v>2.1999999999999997</v>
      </c>
      <c r="C207" s="2">
        <v>1.1554</v>
      </c>
      <c r="D207" s="5">
        <v>3518.2</v>
      </c>
      <c r="E207" s="2">
        <v>21.986000000000001</v>
      </c>
      <c r="F207" s="5">
        <f t="shared" si="64"/>
        <v>378.14973164741201</v>
      </c>
      <c r="G207" s="3">
        <f t="shared" si="65"/>
        <v>1803.0136122591618</v>
      </c>
      <c r="I207" s="2"/>
      <c r="J207" s="2">
        <v>40.085999999999999</v>
      </c>
      <c r="K207" s="2">
        <f t="shared" si="67"/>
        <v>2.1999999999999997</v>
      </c>
      <c r="L207" s="2">
        <v>1.1581999999999999</v>
      </c>
      <c r="M207" s="2">
        <v>3296.7</v>
      </c>
      <c r="N207" s="2">
        <v>22.216000000000001</v>
      </c>
    </row>
    <row r="208" spans="1:14" x14ac:dyDescent="0.3">
      <c r="A208" s="5">
        <v>80</v>
      </c>
      <c r="B208" s="2">
        <f t="shared" si="66"/>
        <v>2.1999999999999997</v>
      </c>
      <c r="C208" s="2">
        <v>1.1566000000000001</v>
      </c>
      <c r="D208" s="5">
        <v>3531.9</v>
      </c>
      <c r="E208" s="2">
        <v>22.013000000000002</v>
      </c>
      <c r="F208" s="5">
        <f t="shared" si="64"/>
        <v>377.6859128696679</v>
      </c>
      <c r="G208" s="3">
        <f t="shared" si="65"/>
        <v>1804.7330376322993</v>
      </c>
      <c r="I208" s="2"/>
      <c r="J208" s="2">
        <v>45.79</v>
      </c>
      <c r="K208" s="2">
        <f t="shared" si="67"/>
        <v>2.1999999999999997</v>
      </c>
      <c r="L208" s="2">
        <v>1.1596</v>
      </c>
      <c r="M208" s="2">
        <v>3306.8</v>
      </c>
      <c r="N208" s="2">
        <v>22.239000000000001</v>
      </c>
    </row>
    <row r="209" spans="1:14" x14ac:dyDescent="0.3">
      <c r="A209" s="5">
        <v>90</v>
      </c>
      <c r="B209" s="2">
        <f t="shared" si="66"/>
        <v>2.1999999999999997</v>
      </c>
      <c r="C209" s="2">
        <v>1.1577</v>
      </c>
      <c r="D209" s="5">
        <v>3543.8</v>
      </c>
      <c r="E209" s="2">
        <v>22.036999999999999</v>
      </c>
      <c r="F209" s="5">
        <f t="shared" si="64"/>
        <v>377.27458365476247</v>
      </c>
      <c r="G209" s="3">
        <f t="shared" si="65"/>
        <v>1806.1636197229645</v>
      </c>
      <c r="I209" s="2"/>
      <c r="J209" s="2">
        <v>51.491</v>
      </c>
      <c r="K209" s="2">
        <f t="shared" si="67"/>
        <v>2.1999999999999997</v>
      </c>
      <c r="L209" s="2">
        <v>1.1608000000000001</v>
      </c>
      <c r="M209" s="2">
        <v>3315.5</v>
      </c>
      <c r="N209" s="2">
        <v>22.257999999999999</v>
      </c>
    </row>
    <row r="210" spans="1:14" x14ac:dyDescent="0.3">
      <c r="A210" s="5">
        <v>100</v>
      </c>
      <c r="B210" s="2">
        <f t="shared" si="66"/>
        <v>2.1999999999999997</v>
      </c>
      <c r="C210" s="2">
        <v>1.1586000000000001</v>
      </c>
      <c r="D210" s="5">
        <v>3554.4</v>
      </c>
      <c r="E210" s="2">
        <v>22.058</v>
      </c>
      <c r="F210" s="5">
        <f t="shared" si="64"/>
        <v>376.91540484178074</v>
      </c>
      <c r="G210" s="3">
        <f t="shared" si="65"/>
        <v>1807.492437672496</v>
      </c>
      <c r="I210" s="2"/>
      <c r="J210" s="2">
        <v>57.19</v>
      </c>
      <c r="K210" s="2">
        <f t="shared" si="67"/>
        <v>2.1999999999999997</v>
      </c>
      <c r="L210" s="2">
        <v>1.1618999999999999</v>
      </c>
      <c r="M210" s="2">
        <v>3323.1</v>
      </c>
      <c r="N210" s="2">
        <v>22.276</v>
      </c>
    </row>
    <row r="211" spans="1:14" x14ac:dyDescent="0.3">
      <c r="A211" s="5">
        <v>10</v>
      </c>
      <c r="B211" s="2">
        <f t="shared" si="66"/>
        <v>2.4</v>
      </c>
      <c r="C211" s="2">
        <v>1.1307</v>
      </c>
      <c r="D211" s="5">
        <v>3364.9</v>
      </c>
      <c r="E211" s="2">
        <v>22.335000000000001</v>
      </c>
      <c r="F211" s="5">
        <f t="shared" si="64"/>
        <v>372.24087754645177</v>
      </c>
      <c r="G211" s="3">
        <f t="shared" si="65"/>
        <v>1763.2636119545277</v>
      </c>
      <c r="I211" s="2"/>
      <c r="J211" s="2">
        <v>5.7888999999999999</v>
      </c>
      <c r="K211" s="2">
        <f t="shared" si="67"/>
        <v>2.4</v>
      </c>
      <c r="L211" s="2">
        <v>1.1281000000000001</v>
      </c>
      <c r="M211" s="2">
        <v>3206.8</v>
      </c>
      <c r="N211" s="2">
        <v>22.66</v>
      </c>
    </row>
    <row r="212" spans="1:14" x14ac:dyDescent="0.3">
      <c r="A212" s="5">
        <v>20</v>
      </c>
      <c r="B212" s="2">
        <f t="shared" si="66"/>
        <v>2.4</v>
      </c>
      <c r="C212" s="2">
        <v>1.135</v>
      </c>
      <c r="D212" s="5">
        <v>3456.3</v>
      </c>
      <c r="E212" s="2">
        <v>22.521000000000001</v>
      </c>
      <c r="F212" s="5">
        <f t="shared" si="64"/>
        <v>369.16655565916255</v>
      </c>
      <c r="G212" s="3">
        <f t="shared" si="65"/>
        <v>1777.1961894290428</v>
      </c>
      <c r="I212" s="2"/>
      <c r="J212" s="2">
        <v>11.558999999999999</v>
      </c>
      <c r="K212" s="2">
        <f t="shared" si="67"/>
        <v>2.4</v>
      </c>
      <c r="L212" s="2">
        <v>1.1328</v>
      </c>
      <c r="M212" s="2">
        <v>3285.2</v>
      </c>
      <c r="N212" s="2">
        <v>22.838000000000001</v>
      </c>
    </row>
    <row r="213" spans="1:14" x14ac:dyDescent="0.3">
      <c r="A213" s="5">
        <v>30</v>
      </c>
      <c r="B213" s="2">
        <f t="shared" si="66"/>
        <v>2.4</v>
      </c>
      <c r="C213" s="2">
        <v>1.1376999999999999</v>
      </c>
      <c r="D213" s="5">
        <v>3509.8</v>
      </c>
      <c r="E213" s="2">
        <v>22.632000000000001</v>
      </c>
      <c r="F213" s="5">
        <f t="shared" si="64"/>
        <v>367.35595616825731</v>
      </c>
      <c r="G213" s="3">
        <f t="shared" si="65"/>
        <v>1784.9559298558006</v>
      </c>
      <c r="I213" s="2"/>
      <c r="J213" s="2">
        <v>17.32</v>
      </c>
      <c r="K213" s="2">
        <f t="shared" si="67"/>
        <v>2.4</v>
      </c>
      <c r="L213" s="2">
        <v>1.1356999999999999</v>
      </c>
      <c r="M213" s="2">
        <v>3330.6</v>
      </c>
      <c r="N213" s="2">
        <v>22.940999999999999</v>
      </c>
    </row>
    <row r="214" spans="1:14" x14ac:dyDescent="0.3">
      <c r="A214" s="5">
        <v>40</v>
      </c>
      <c r="B214" s="2">
        <f t="shared" si="66"/>
        <v>2.4</v>
      </c>
      <c r="C214" s="2">
        <v>1.1395999999999999</v>
      </c>
      <c r="D214" s="5">
        <v>3547.6</v>
      </c>
      <c r="E214" s="2">
        <v>22.71</v>
      </c>
      <c r="F214" s="5">
        <f t="shared" si="64"/>
        <v>366.09423161602814</v>
      </c>
      <c r="G214" s="3">
        <f t="shared" si="65"/>
        <v>1790.3700652802045</v>
      </c>
      <c r="I214" s="2"/>
      <c r="J214" s="2">
        <v>23.076000000000001</v>
      </c>
      <c r="K214" s="2">
        <f t="shared" si="67"/>
        <v>2.4</v>
      </c>
      <c r="L214" s="2">
        <v>1.1377999999999999</v>
      </c>
      <c r="M214" s="2">
        <v>3362.3</v>
      </c>
      <c r="N214" s="2">
        <v>23.013999999999999</v>
      </c>
    </row>
    <row r="215" spans="1:14" x14ac:dyDescent="0.3">
      <c r="A215" s="5">
        <v>50</v>
      </c>
      <c r="B215" s="2">
        <f t="shared" si="66"/>
        <v>2.4</v>
      </c>
      <c r="C215" s="2">
        <v>1.1411</v>
      </c>
      <c r="D215" s="5">
        <v>3576.8</v>
      </c>
      <c r="E215" s="2">
        <v>22.771000000000001</v>
      </c>
      <c r="F215" s="5">
        <f t="shared" si="64"/>
        <v>365.11352158447147</v>
      </c>
      <c r="G215" s="3">
        <f t="shared" si="65"/>
        <v>1794.4547310064534</v>
      </c>
      <c r="I215" s="2"/>
      <c r="J215" s="2">
        <v>28.827999999999999</v>
      </c>
      <c r="K215" s="2">
        <f t="shared" si="67"/>
        <v>2.4</v>
      </c>
      <c r="L215" s="2">
        <v>1.1394</v>
      </c>
      <c r="M215" s="2">
        <v>3386.6</v>
      </c>
      <c r="N215" s="2">
        <v>23.07</v>
      </c>
    </row>
    <row r="216" spans="1:14" x14ac:dyDescent="0.3">
      <c r="A216" s="5">
        <v>60</v>
      </c>
      <c r="B216" s="2">
        <f t="shared" si="66"/>
        <v>2.4</v>
      </c>
      <c r="C216" s="2">
        <v>1.1424000000000001</v>
      </c>
      <c r="D216" s="5">
        <v>3600.5</v>
      </c>
      <c r="E216" s="2">
        <v>22.82</v>
      </c>
      <c r="F216" s="5">
        <f t="shared" si="64"/>
        <v>364.32953549517964</v>
      </c>
      <c r="G216" s="3">
        <f t="shared" si="65"/>
        <v>1797.7114275272227</v>
      </c>
      <c r="I216" s="2"/>
      <c r="J216" s="2">
        <v>34.576000000000001</v>
      </c>
      <c r="K216" s="2">
        <f t="shared" si="67"/>
        <v>2.4</v>
      </c>
      <c r="L216" s="2">
        <v>1.1408</v>
      </c>
      <c r="M216" s="2">
        <v>3406.3</v>
      </c>
      <c r="N216" s="2">
        <v>23.114999999999998</v>
      </c>
    </row>
    <row r="217" spans="1:14" x14ac:dyDescent="0.3">
      <c r="A217" s="5">
        <v>70</v>
      </c>
      <c r="B217" s="2">
        <f t="shared" si="66"/>
        <v>2.4</v>
      </c>
      <c r="C217" s="2">
        <v>1.1434</v>
      </c>
      <c r="D217" s="5">
        <v>3620.5</v>
      </c>
      <c r="E217" s="2">
        <v>22.861999999999998</v>
      </c>
      <c r="F217" s="5">
        <f t="shared" si="64"/>
        <v>363.66022220278194</v>
      </c>
      <c r="G217" s="3">
        <f t="shared" si="65"/>
        <v>1800.467940120684</v>
      </c>
      <c r="I217" s="2"/>
      <c r="J217" s="2">
        <v>40.322000000000003</v>
      </c>
      <c r="K217" s="2">
        <f t="shared" si="67"/>
        <v>2.4</v>
      </c>
      <c r="L217" s="2">
        <v>1.1419999999999999</v>
      </c>
      <c r="M217" s="2">
        <v>3422.7</v>
      </c>
      <c r="N217" s="2">
        <v>23.152999999999999</v>
      </c>
    </row>
    <row r="218" spans="1:14" x14ac:dyDescent="0.3">
      <c r="A218" s="5">
        <v>80</v>
      </c>
      <c r="B218" s="2">
        <f t="shared" si="66"/>
        <v>2.4</v>
      </c>
      <c r="C218" s="2">
        <v>1.1444000000000001</v>
      </c>
      <c r="D218" s="5">
        <v>3637.7</v>
      </c>
      <c r="E218" s="2">
        <v>22.898</v>
      </c>
      <c r="F218" s="5">
        <f t="shared" si="64"/>
        <v>363.08847934317407</v>
      </c>
      <c r="G218" s="3">
        <f t="shared" si="65"/>
        <v>1802.7473941959693</v>
      </c>
      <c r="I218" s="2"/>
      <c r="J218" s="2">
        <v>46.064999999999998</v>
      </c>
      <c r="K218" s="2">
        <f t="shared" si="67"/>
        <v>2.4</v>
      </c>
      <c r="L218" s="2">
        <v>1.1431</v>
      </c>
      <c r="M218" s="2">
        <v>3436.8</v>
      </c>
      <c r="N218" s="2">
        <v>23.186</v>
      </c>
    </row>
    <row r="219" spans="1:14" x14ac:dyDescent="0.3">
      <c r="A219" s="5">
        <v>90</v>
      </c>
      <c r="B219" s="2">
        <f t="shared" si="66"/>
        <v>2.4</v>
      </c>
      <c r="C219" s="2">
        <v>1.1452</v>
      </c>
      <c r="D219" s="5">
        <v>3652.8</v>
      </c>
      <c r="E219" s="2">
        <v>22.93</v>
      </c>
      <c r="F219" s="5">
        <f t="shared" si="64"/>
        <v>362.58177060619278</v>
      </c>
      <c r="G219" s="3">
        <f t="shared" si="65"/>
        <v>1804.7656954497988</v>
      </c>
      <c r="I219" s="2"/>
      <c r="J219" s="2">
        <v>51.805</v>
      </c>
      <c r="K219" s="2">
        <f t="shared" si="67"/>
        <v>2.4</v>
      </c>
      <c r="L219" s="2">
        <v>1.1439999999999999</v>
      </c>
      <c r="M219" s="2">
        <v>3449.1</v>
      </c>
      <c r="N219" s="2">
        <v>23.215</v>
      </c>
    </row>
    <row r="220" spans="1:14" x14ac:dyDescent="0.3">
      <c r="A220" s="5">
        <v>100</v>
      </c>
      <c r="B220" s="2">
        <f t="shared" si="66"/>
        <v>2.4</v>
      </c>
      <c r="C220" s="2">
        <v>1.1458999999999999</v>
      </c>
      <c r="D220" s="5">
        <v>3666.2</v>
      </c>
      <c r="E220" s="2">
        <v>22.959</v>
      </c>
      <c r="F220" s="5">
        <f t="shared" si="64"/>
        <v>362.12378587917595</v>
      </c>
      <c r="G220" s="3">
        <f t="shared" si="65"/>
        <v>1806.5295189151325</v>
      </c>
      <c r="I220" s="2"/>
      <c r="J220" s="2">
        <v>57.543999999999997</v>
      </c>
      <c r="K220" s="2">
        <f t="shared" si="67"/>
        <v>2.4</v>
      </c>
      <c r="L220" s="2">
        <v>1.1448</v>
      </c>
      <c r="M220" s="2">
        <v>3460</v>
      </c>
      <c r="N220" s="2">
        <v>23.24</v>
      </c>
    </row>
    <row r="221" spans="1:14" x14ac:dyDescent="0.3">
      <c r="A221" s="5">
        <v>10</v>
      </c>
      <c r="B221" s="2">
        <f t="shared" si="66"/>
        <v>2.6</v>
      </c>
      <c r="C221" s="2">
        <v>1.1264000000000001</v>
      </c>
      <c r="D221" s="5">
        <v>3395.6</v>
      </c>
      <c r="E221" s="2">
        <v>23.013000000000002</v>
      </c>
      <c r="F221" s="5">
        <f t="shared" si="64"/>
        <v>361.27406248642069</v>
      </c>
      <c r="G221" s="3">
        <f t="shared" si="65"/>
        <v>1747.427926303955</v>
      </c>
      <c r="I221" s="2"/>
      <c r="J221" s="2">
        <v>5.8005000000000004</v>
      </c>
      <c r="K221" s="2">
        <f t="shared" si="67"/>
        <v>2.6</v>
      </c>
      <c r="L221" s="2">
        <v>1.1226</v>
      </c>
      <c r="M221" s="2">
        <v>3245.8</v>
      </c>
      <c r="N221" s="2">
        <v>23.364999999999998</v>
      </c>
    </row>
    <row r="222" spans="1:14" x14ac:dyDescent="0.3">
      <c r="A222" s="5">
        <v>20</v>
      </c>
      <c r="B222" s="2">
        <f t="shared" si="66"/>
        <v>2.6</v>
      </c>
      <c r="C222" s="2">
        <v>1.1301000000000001</v>
      </c>
      <c r="D222" s="5">
        <v>3493.3</v>
      </c>
      <c r="E222" s="2">
        <v>23.221</v>
      </c>
      <c r="F222" s="5">
        <f t="shared" si="64"/>
        <v>358.03798286034191</v>
      </c>
      <c r="G222" s="3">
        <f t="shared" si="65"/>
        <v>1762.3236189237716</v>
      </c>
      <c r="I222" s="2"/>
      <c r="J222" s="2">
        <v>11.586</v>
      </c>
      <c r="K222" s="2">
        <f t="shared" si="67"/>
        <v>2.6</v>
      </c>
      <c r="L222" s="2">
        <v>1.1264000000000001</v>
      </c>
      <c r="M222" s="2">
        <v>3332.1</v>
      </c>
      <c r="N222" s="2">
        <v>23.567</v>
      </c>
    </row>
    <row r="223" spans="1:14" x14ac:dyDescent="0.3">
      <c r="A223" s="5">
        <v>30</v>
      </c>
      <c r="B223" s="2">
        <f t="shared" si="66"/>
        <v>2.6</v>
      </c>
      <c r="C223" s="2">
        <v>1.1323000000000001</v>
      </c>
      <c r="D223" s="5">
        <v>3551.2</v>
      </c>
      <c r="E223" s="2">
        <v>23.344999999999999</v>
      </c>
      <c r="F223" s="5">
        <f t="shared" si="64"/>
        <v>356.13621760548295</v>
      </c>
      <c r="G223" s="3">
        <f t="shared" si="65"/>
        <v>1770.887374982525</v>
      </c>
      <c r="I223" s="2"/>
      <c r="J223" s="2">
        <v>17.364000000000001</v>
      </c>
      <c r="K223" s="2">
        <f t="shared" si="67"/>
        <v>2.6</v>
      </c>
      <c r="L223" s="2">
        <v>1.1286</v>
      </c>
      <c r="M223" s="2">
        <v>3382.9</v>
      </c>
      <c r="N223" s="2">
        <v>23.687000000000001</v>
      </c>
    </row>
    <row r="224" spans="1:14" x14ac:dyDescent="0.3">
      <c r="A224" s="5">
        <v>40</v>
      </c>
      <c r="B224" s="2">
        <f t="shared" si="66"/>
        <v>2.6</v>
      </c>
      <c r="C224" s="2">
        <v>1.1338999999999999</v>
      </c>
      <c r="D224" s="5">
        <v>3592.5</v>
      </c>
      <c r="E224" s="2">
        <v>23.434000000000001</v>
      </c>
      <c r="F224" s="5">
        <f t="shared" si="64"/>
        <v>354.78364769138858</v>
      </c>
      <c r="G224" s="3">
        <f t="shared" si="65"/>
        <v>1776.8552688478012</v>
      </c>
      <c r="I224" s="2"/>
      <c r="J224" s="2">
        <v>23.138999999999999</v>
      </c>
      <c r="K224" s="2">
        <f t="shared" si="67"/>
        <v>2.6</v>
      </c>
      <c r="L224" s="2">
        <v>1.1303000000000001</v>
      </c>
      <c r="M224" s="2">
        <v>3419</v>
      </c>
      <c r="N224" s="2">
        <v>23.771999999999998</v>
      </c>
    </row>
    <row r="225" spans="1:14" x14ac:dyDescent="0.3">
      <c r="A225" s="5">
        <v>50</v>
      </c>
      <c r="B225" s="2">
        <f t="shared" si="66"/>
        <v>2.6</v>
      </c>
      <c r="C225" s="2">
        <v>1.1352</v>
      </c>
      <c r="D225" s="5">
        <v>3624.6</v>
      </c>
      <c r="E225" s="2">
        <v>23.504000000000001</v>
      </c>
      <c r="F225" s="5">
        <f t="shared" si="64"/>
        <v>353.72702518720217</v>
      </c>
      <c r="G225" s="3">
        <f t="shared" si="65"/>
        <v>1781.3726423301391</v>
      </c>
      <c r="I225" s="2"/>
      <c r="J225" s="2">
        <v>28.911000000000001</v>
      </c>
      <c r="K225" s="2">
        <f t="shared" si="67"/>
        <v>2.6</v>
      </c>
      <c r="L225" s="2">
        <v>1.1315</v>
      </c>
      <c r="M225" s="2">
        <v>3447</v>
      </c>
      <c r="N225" s="2">
        <v>23.838999999999999</v>
      </c>
    </row>
    <row r="226" spans="1:14" x14ac:dyDescent="0.3">
      <c r="A226" s="5">
        <v>60</v>
      </c>
      <c r="B226" s="2">
        <f t="shared" si="66"/>
        <v>2.6</v>
      </c>
      <c r="C226" s="2">
        <v>1.1362000000000001</v>
      </c>
      <c r="D226" s="5">
        <v>3650.9</v>
      </c>
      <c r="E226" s="2">
        <v>23.561</v>
      </c>
      <c r="F226" s="5">
        <f t="shared" si="64"/>
        <v>352.87127031959591</v>
      </c>
      <c r="G226" s="3">
        <f t="shared" si="65"/>
        <v>1785.0873901090874</v>
      </c>
      <c r="I226" s="2"/>
      <c r="J226" s="2">
        <v>34.68</v>
      </c>
      <c r="K226" s="2">
        <f t="shared" si="67"/>
        <v>2.6</v>
      </c>
      <c r="L226" s="2">
        <v>1.1326000000000001</v>
      </c>
      <c r="M226" s="2">
        <v>3469.8</v>
      </c>
      <c r="N226" s="2">
        <v>23.893999999999998</v>
      </c>
    </row>
    <row r="227" spans="1:14" x14ac:dyDescent="0.3">
      <c r="A227" s="5">
        <v>70</v>
      </c>
      <c r="B227" s="2">
        <f t="shared" si="66"/>
        <v>2.6</v>
      </c>
      <c r="C227" s="2">
        <v>1.137</v>
      </c>
      <c r="D227" s="5">
        <v>3673.1</v>
      </c>
      <c r="E227" s="2">
        <v>23.61</v>
      </c>
      <c r="F227" s="5">
        <f t="shared" si="64"/>
        <v>352.13892418466753</v>
      </c>
      <c r="G227" s="3">
        <f t="shared" si="65"/>
        <v>1788.1891839505156</v>
      </c>
      <c r="I227" s="2"/>
      <c r="J227" s="2">
        <v>40.447000000000003</v>
      </c>
      <c r="K227" s="2">
        <f t="shared" si="67"/>
        <v>2.6</v>
      </c>
      <c r="L227" s="2">
        <v>1.1335</v>
      </c>
      <c r="M227" s="2">
        <v>3489</v>
      </c>
      <c r="N227" s="2">
        <v>23.94</v>
      </c>
    </row>
    <row r="228" spans="1:14" x14ac:dyDescent="0.3">
      <c r="A228" s="5">
        <v>80</v>
      </c>
      <c r="B228" s="2">
        <f t="shared" si="66"/>
        <v>2.6</v>
      </c>
      <c r="C228" s="2">
        <v>1.1377999999999999</v>
      </c>
      <c r="D228" s="5">
        <v>3692.4</v>
      </c>
      <c r="E228" s="2">
        <v>23.652000000000001</v>
      </c>
      <c r="F228" s="5">
        <f t="shared" si="64"/>
        <v>351.51361407069169</v>
      </c>
      <c r="G228" s="3">
        <f t="shared" si="65"/>
        <v>1790.8298400517242</v>
      </c>
      <c r="I228" s="2"/>
      <c r="J228" s="2">
        <v>46.212000000000003</v>
      </c>
      <c r="K228" s="2">
        <f t="shared" si="67"/>
        <v>2.6</v>
      </c>
      <c r="L228" s="2">
        <v>1.1343000000000001</v>
      </c>
      <c r="M228" s="2">
        <v>3505.7</v>
      </c>
      <c r="N228" s="2">
        <v>23.98</v>
      </c>
    </row>
    <row r="229" spans="1:14" x14ac:dyDescent="0.3">
      <c r="A229" s="5">
        <v>90</v>
      </c>
      <c r="B229" s="2">
        <f t="shared" si="66"/>
        <v>2.6</v>
      </c>
      <c r="C229" s="2">
        <v>1.1384000000000001</v>
      </c>
      <c r="D229" s="5">
        <v>3709.4</v>
      </c>
      <c r="E229" s="2">
        <v>23.69</v>
      </c>
      <c r="F229" s="5">
        <f t="shared" si="64"/>
        <v>350.94976783452933</v>
      </c>
      <c r="G229" s="3">
        <f t="shared" si="65"/>
        <v>1793.163363881597</v>
      </c>
      <c r="I229" s="2"/>
      <c r="J229" s="2">
        <v>51.975999999999999</v>
      </c>
      <c r="K229" s="2">
        <f t="shared" si="67"/>
        <v>2.6</v>
      </c>
      <c r="L229" s="2">
        <v>1.135</v>
      </c>
      <c r="M229" s="2">
        <v>3520.3</v>
      </c>
      <c r="N229" s="2">
        <v>24.015999999999998</v>
      </c>
    </row>
    <row r="230" spans="1:14" x14ac:dyDescent="0.3">
      <c r="A230" s="5">
        <v>100</v>
      </c>
      <c r="B230" s="2">
        <f t="shared" si="66"/>
        <v>2.6</v>
      </c>
      <c r="C230" s="2">
        <v>1.139</v>
      </c>
      <c r="D230" s="5">
        <v>3724.6</v>
      </c>
      <c r="E230" s="2">
        <v>23.722999999999999</v>
      </c>
      <c r="F230" s="5">
        <f t="shared" ref="F230:F293" si="68">8.314/E230*1000</f>
        <v>350.4615773721705</v>
      </c>
      <c r="G230" s="3">
        <f t="shared" ref="G230:G293" si="69">SQRT(F230*D230/C230*((C230+1)/2)^((C230+1)/(C230-1)))</f>
        <v>1795.239067543976</v>
      </c>
      <c r="I230" s="2"/>
      <c r="J230" s="2">
        <v>57.738</v>
      </c>
      <c r="K230" s="2">
        <f t="shared" si="67"/>
        <v>2.6</v>
      </c>
      <c r="L230" s="2">
        <v>1.1355999999999999</v>
      </c>
      <c r="M230" s="2">
        <v>3533.3</v>
      </c>
      <c r="N230" s="2">
        <v>24.047000000000001</v>
      </c>
    </row>
    <row r="231" spans="1:14" x14ac:dyDescent="0.3">
      <c r="A231" s="5">
        <v>10</v>
      </c>
      <c r="B231" s="2">
        <f t="shared" si="66"/>
        <v>2.8000000000000003</v>
      </c>
      <c r="C231" s="2">
        <v>1.1238999999999999</v>
      </c>
      <c r="D231" s="5">
        <v>3407.8</v>
      </c>
      <c r="E231" s="2">
        <v>23.619</v>
      </c>
      <c r="F231" s="5">
        <f t="shared" si="68"/>
        <v>352.00474194504426</v>
      </c>
      <c r="G231" s="3">
        <f t="shared" si="69"/>
        <v>1729.3627549411881</v>
      </c>
      <c r="I231" s="2"/>
      <c r="J231" s="2">
        <v>5.8066000000000004</v>
      </c>
      <c r="K231" s="2">
        <f t="shared" si="67"/>
        <v>2.8000000000000003</v>
      </c>
      <c r="L231" s="2">
        <v>1.1196999999999999</v>
      </c>
      <c r="M231" s="2">
        <v>3262.6</v>
      </c>
      <c r="N231" s="2">
        <v>23.986999999999998</v>
      </c>
    </row>
    <row r="232" spans="1:14" x14ac:dyDescent="0.3">
      <c r="A232" s="5">
        <v>20</v>
      </c>
      <c r="B232" s="2">
        <f t="shared" si="66"/>
        <v>2.8000000000000003</v>
      </c>
      <c r="C232" s="2">
        <v>1.1274</v>
      </c>
      <c r="D232" s="5">
        <v>3508.5</v>
      </c>
      <c r="E232" s="2">
        <v>23.84</v>
      </c>
      <c r="F232" s="5">
        <f t="shared" si="68"/>
        <v>348.74161073825508</v>
      </c>
      <c r="G232" s="3">
        <f t="shared" si="69"/>
        <v>1744.5950800153696</v>
      </c>
      <c r="I232" s="2"/>
      <c r="J232" s="2">
        <v>11.6</v>
      </c>
      <c r="K232" s="2">
        <f t="shared" si="67"/>
        <v>2.8000000000000003</v>
      </c>
      <c r="L232" s="2">
        <v>1.1231</v>
      </c>
      <c r="M232" s="2">
        <v>3352.7</v>
      </c>
      <c r="N232" s="2">
        <v>24.204000000000001</v>
      </c>
    </row>
    <row r="233" spans="1:14" x14ac:dyDescent="0.3">
      <c r="A233" s="5">
        <v>30</v>
      </c>
      <c r="B233" s="2">
        <f t="shared" si="66"/>
        <v>2.8000000000000003</v>
      </c>
      <c r="C233" s="2">
        <v>1.1294</v>
      </c>
      <c r="D233" s="5">
        <v>3568.5</v>
      </c>
      <c r="E233" s="2">
        <v>23.972999999999999</v>
      </c>
      <c r="F233" s="5">
        <f t="shared" si="68"/>
        <v>346.80682434405372</v>
      </c>
      <c r="G233" s="3">
        <f t="shared" si="69"/>
        <v>1753.4280483924576</v>
      </c>
      <c r="I233" s="2"/>
      <c r="J233" s="2">
        <v>17.387</v>
      </c>
      <c r="K233" s="2">
        <f t="shared" si="67"/>
        <v>2.8000000000000003</v>
      </c>
      <c r="L233" s="2">
        <v>1.125</v>
      </c>
      <c r="M233" s="2">
        <v>3406.2</v>
      </c>
      <c r="N233" s="2">
        <v>24.335000000000001</v>
      </c>
    </row>
    <row r="234" spans="1:14" x14ac:dyDescent="0.3">
      <c r="A234" s="5">
        <v>40</v>
      </c>
      <c r="B234" s="2">
        <f t="shared" si="66"/>
        <v>2.8000000000000003</v>
      </c>
      <c r="C234" s="2">
        <v>1.1308</v>
      </c>
      <c r="D234" s="5">
        <v>3611.5</v>
      </c>
      <c r="E234" s="2">
        <v>24.068999999999999</v>
      </c>
      <c r="F234" s="5">
        <f t="shared" si="68"/>
        <v>345.42357389172793</v>
      </c>
      <c r="G234" s="3">
        <f t="shared" si="69"/>
        <v>1759.6444656534875</v>
      </c>
      <c r="I234" s="2"/>
      <c r="J234" s="2">
        <v>23.170999999999999</v>
      </c>
      <c r="K234" s="2">
        <f t="shared" si="67"/>
        <v>2.8000000000000003</v>
      </c>
      <c r="L234" s="2">
        <v>1.1264000000000001</v>
      </c>
      <c r="M234" s="2">
        <v>3444.5</v>
      </c>
      <c r="N234" s="2">
        <v>24.428999999999998</v>
      </c>
    </row>
    <row r="235" spans="1:14" x14ac:dyDescent="0.3">
      <c r="A235" s="5">
        <v>50</v>
      </c>
      <c r="B235" s="2">
        <f t="shared" si="66"/>
        <v>2.8000000000000003</v>
      </c>
      <c r="C235" s="2">
        <v>1.1318999999999999</v>
      </c>
      <c r="D235" s="5">
        <v>3645.1</v>
      </c>
      <c r="E235" s="2">
        <v>24.145</v>
      </c>
      <c r="F235" s="5">
        <f t="shared" si="68"/>
        <v>344.33630151170013</v>
      </c>
      <c r="G235" s="3">
        <f t="shared" si="69"/>
        <v>1764.4012379979647</v>
      </c>
      <c r="I235" s="2"/>
      <c r="J235" s="2">
        <v>28.952999999999999</v>
      </c>
      <c r="K235" s="2">
        <f t="shared" si="67"/>
        <v>2.8000000000000003</v>
      </c>
      <c r="L235" s="2">
        <v>1.1274999999999999</v>
      </c>
      <c r="M235" s="2">
        <v>3474.3</v>
      </c>
      <c r="N235" s="2">
        <v>24.501999999999999</v>
      </c>
    </row>
    <row r="236" spans="1:14" x14ac:dyDescent="0.3">
      <c r="A236" s="5">
        <v>60</v>
      </c>
      <c r="B236" s="2">
        <f t="shared" si="66"/>
        <v>2.8000000000000003</v>
      </c>
      <c r="C236" s="2">
        <v>1.1328</v>
      </c>
      <c r="D236" s="5">
        <v>3672.7</v>
      </c>
      <c r="E236" s="2">
        <v>24.207000000000001</v>
      </c>
      <c r="F236" s="5">
        <f t="shared" si="68"/>
        <v>343.45437270211096</v>
      </c>
      <c r="G236" s="3">
        <f t="shared" si="69"/>
        <v>1768.2867451317222</v>
      </c>
      <c r="I236" s="2"/>
      <c r="J236" s="2">
        <v>34.732999999999997</v>
      </c>
      <c r="K236" s="2">
        <f t="shared" si="67"/>
        <v>2.8000000000000003</v>
      </c>
      <c r="L236" s="2">
        <v>1.1284000000000001</v>
      </c>
      <c r="M236" s="2">
        <v>3498.7</v>
      </c>
      <c r="N236" s="2">
        <v>24.562999999999999</v>
      </c>
    </row>
    <row r="237" spans="1:14" x14ac:dyDescent="0.3">
      <c r="A237" s="5">
        <v>70</v>
      </c>
      <c r="B237" s="2">
        <f t="shared" si="66"/>
        <v>2.8000000000000003</v>
      </c>
      <c r="C237" s="2">
        <v>1.1335</v>
      </c>
      <c r="D237" s="5">
        <v>3696.1</v>
      </c>
      <c r="E237" s="2">
        <v>24.26</v>
      </c>
      <c r="F237" s="5">
        <f t="shared" si="68"/>
        <v>342.70403957131077</v>
      </c>
      <c r="G237" s="3">
        <f t="shared" si="69"/>
        <v>1771.5734348670153</v>
      </c>
      <c r="I237" s="2"/>
      <c r="J237" s="2">
        <v>40.51</v>
      </c>
      <c r="K237" s="2">
        <f t="shared" si="67"/>
        <v>2.8000000000000003</v>
      </c>
      <c r="L237" s="2">
        <v>1.1292</v>
      </c>
      <c r="M237" s="2">
        <v>3519.4</v>
      </c>
      <c r="N237" s="2">
        <v>24.614000000000001</v>
      </c>
    </row>
    <row r="238" spans="1:14" x14ac:dyDescent="0.3">
      <c r="A238" s="5">
        <v>80</v>
      </c>
      <c r="B238" s="2">
        <f t="shared" si="66"/>
        <v>2.8000000000000003</v>
      </c>
      <c r="C238" s="2">
        <v>1.1342000000000001</v>
      </c>
      <c r="D238" s="5">
        <v>3716.4</v>
      </c>
      <c r="E238" s="2">
        <v>24.306000000000001</v>
      </c>
      <c r="F238" s="5">
        <f t="shared" si="68"/>
        <v>342.05545955731094</v>
      </c>
      <c r="G238" s="3">
        <f t="shared" si="69"/>
        <v>1774.3508829255884</v>
      </c>
      <c r="I238" s="2"/>
      <c r="J238" s="2">
        <v>46.286999999999999</v>
      </c>
      <c r="K238" s="2">
        <f t="shared" si="67"/>
        <v>2.8000000000000003</v>
      </c>
      <c r="L238" s="2">
        <v>1.1297999999999999</v>
      </c>
      <c r="M238" s="2">
        <v>3537.3</v>
      </c>
      <c r="N238" s="2">
        <v>24.658999999999999</v>
      </c>
    </row>
    <row r="239" spans="1:14" x14ac:dyDescent="0.3">
      <c r="A239" s="5">
        <v>90</v>
      </c>
      <c r="B239" s="2">
        <f t="shared" si="66"/>
        <v>2.8000000000000003</v>
      </c>
      <c r="C239" s="2">
        <v>1.1348</v>
      </c>
      <c r="D239" s="5">
        <v>3734.4</v>
      </c>
      <c r="E239" s="2">
        <v>24.347999999999999</v>
      </c>
      <c r="F239" s="5">
        <f t="shared" si="68"/>
        <v>341.46541810415641</v>
      </c>
      <c r="G239" s="3">
        <f t="shared" si="69"/>
        <v>1776.7656042101646</v>
      </c>
      <c r="I239" s="2"/>
      <c r="J239" s="2">
        <v>52.061999999999998</v>
      </c>
      <c r="K239" s="2">
        <f t="shared" si="67"/>
        <v>2.8000000000000003</v>
      </c>
      <c r="L239" s="2">
        <v>1.1304000000000001</v>
      </c>
      <c r="M239" s="2">
        <v>3553.2</v>
      </c>
      <c r="N239" s="2">
        <v>24.698</v>
      </c>
    </row>
    <row r="240" spans="1:14" x14ac:dyDescent="0.3">
      <c r="A240" s="5">
        <v>100</v>
      </c>
      <c r="B240" s="2">
        <f t="shared" ref="B240:B300" si="70">B230+0.2</f>
        <v>2.8000000000000003</v>
      </c>
      <c r="C240" s="2">
        <v>1.1353</v>
      </c>
      <c r="D240" s="5">
        <v>3750.5</v>
      </c>
      <c r="E240" s="2">
        <v>24.385000000000002</v>
      </c>
      <c r="F240" s="5">
        <f t="shared" si="68"/>
        <v>340.9473036702891</v>
      </c>
      <c r="G240" s="3">
        <f t="shared" si="69"/>
        <v>1778.9547337124898</v>
      </c>
      <c r="I240" s="2"/>
      <c r="J240" s="2">
        <v>57.835999999999999</v>
      </c>
      <c r="K240" s="2">
        <f t="shared" ref="K240:K300" si="71">K230+0.2</f>
        <v>2.8000000000000003</v>
      </c>
      <c r="L240" s="2">
        <v>1.1309</v>
      </c>
      <c r="M240" s="2">
        <v>3567.4</v>
      </c>
      <c r="N240" s="2">
        <v>24.734000000000002</v>
      </c>
    </row>
    <row r="241" spans="1:14" x14ac:dyDescent="0.3">
      <c r="A241" s="5">
        <v>10</v>
      </c>
      <c r="B241" s="2">
        <f t="shared" si="70"/>
        <v>3.0000000000000004</v>
      </c>
      <c r="C241" s="2">
        <v>1.1224000000000001</v>
      </c>
      <c r="D241" s="5">
        <v>3409.2</v>
      </c>
      <c r="E241" s="2">
        <v>24.167000000000002</v>
      </c>
      <c r="F241" s="5">
        <f t="shared" si="68"/>
        <v>344.02284106426117</v>
      </c>
      <c r="G241" s="3">
        <f t="shared" si="69"/>
        <v>1710.8283802670164</v>
      </c>
      <c r="I241" s="2"/>
      <c r="J241" s="2">
        <v>5.8101000000000003</v>
      </c>
      <c r="K241" s="2">
        <f t="shared" si="71"/>
        <v>3.0000000000000004</v>
      </c>
      <c r="L241" s="2">
        <v>1.1181000000000001</v>
      </c>
      <c r="M241" s="2">
        <v>3266.6</v>
      </c>
      <c r="N241" s="2">
        <v>24.545999999999999</v>
      </c>
    </row>
    <row r="242" spans="1:14" x14ac:dyDescent="0.3">
      <c r="A242" s="5">
        <v>20</v>
      </c>
      <c r="B242" s="2">
        <f t="shared" si="70"/>
        <v>3.0000000000000004</v>
      </c>
      <c r="C242" s="2">
        <v>1.1256999999999999</v>
      </c>
      <c r="D242" s="5">
        <v>3510.9</v>
      </c>
      <c r="E242" s="2">
        <v>24.396000000000001</v>
      </c>
      <c r="F242" s="5">
        <f t="shared" si="68"/>
        <v>340.79357271683881</v>
      </c>
      <c r="G242" s="3">
        <f t="shared" si="69"/>
        <v>1726.1401635296736</v>
      </c>
      <c r="I242" s="2"/>
      <c r="J242" s="2">
        <v>11.606999999999999</v>
      </c>
      <c r="K242" s="2">
        <f t="shared" si="71"/>
        <v>3.0000000000000004</v>
      </c>
      <c r="L242" s="2">
        <v>1.1212</v>
      </c>
      <c r="M242" s="2">
        <v>3358.3</v>
      </c>
      <c r="N242" s="2">
        <v>24.773</v>
      </c>
    </row>
    <row r="243" spans="1:14" x14ac:dyDescent="0.3">
      <c r="A243" s="5">
        <v>30</v>
      </c>
      <c r="B243" s="2">
        <f t="shared" si="70"/>
        <v>3.0000000000000004</v>
      </c>
      <c r="C243" s="2">
        <v>1.1275999999999999</v>
      </c>
      <c r="D243" s="5">
        <v>3571.7</v>
      </c>
      <c r="E243" s="2">
        <v>24.535</v>
      </c>
      <c r="F243" s="5">
        <f t="shared" si="68"/>
        <v>338.86284899123706</v>
      </c>
      <c r="G243" s="3">
        <f t="shared" si="69"/>
        <v>1735.0155950682845</v>
      </c>
      <c r="I243" s="2"/>
      <c r="J243" s="2">
        <v>17.399999999999999</v>
      </c>
      <c r="K243" s="2">
        <f t="shared" si="71"/>
        <v>3.0000000000000004</v>
      </c>
      <c r="L243" s="2">
        <v>1.123</v>
      </c>
      <c r="M243" s="2">
        <v>3412.9</v>
      </c>
      <c r="N243" s="2">
        <v>24.91</v>
      </c>
    </row>
    <row r="244" spans="1:14" x14ac:dyDescent="0.3">
      <c r="A244" s="5">
        <v>40</v>
      </c>
      <c r="B244" s="2">
        <f t="shared" si="70"/>
        <v>3.0000000000000004</v>
      </c>
      <c r="C244" s="2">
        <v>1.1289</v>
      </c>
      <c r="D244" s="5">
        <v>3615.4</v>
      </c>
      <c r="E244" s="2">
        <v>24.635999999999999</v>
      </c>
      <c r="F244" s="5">
        <f t="shared" si="68"/>
        <v>337.47361584672836</v>
      </c>
      <c r="G244" s="3">
        <f t="shared" si="69"/>
        <v>1741.2835496445134</v>
      </c>
      <c r="I244" s="2"/>
      <c r="J244" s="2">
        <v>23.189</v>
      </c>
      <c r="K244" s="2">
        <f t="shared" si="71"/>
        <v>3.0000000000000004</v>
      </c>
      <c r="L244" s="2">
        <v>1.1243000000000001</v>
      </c>
      <c r="M244" s="2">
        <v>3452.1</v>
      </c>
      <c r="N244" s="2">
        <v>25.009</v>
      </c>
    </row>
    <row r="245" spans="1:14" x14ac:dyDescent="0.3">
      <c r="A245" s="5">
        <v>50</v>
      </c>
      <c r="B245" s="2">
        <f t="shared" si="70"/>
        <v>3.0000000000000004</v>
      </c>
      <c r="C245" s="2">
        <v>1.1299999999999999</v>
      </c>
      <c r="D245" s="5">
        <v>3649.6</v>
      </c>
      <c r="E245" s="2">
        <v>24.715</v>
      </c>
      <c r="F245" s="5">
        <f t="shared" si="68"/>
        <v>336.3949018814485</v>
      </c>
      <c r="G245" s="3">
        <f t="shared" si="69"/>
        <v>1746.0815246015263</v>
      </c>
      <c r="I245" s="2"/>
      <c r="J245" s="2">
        <v>28.975999999999999</v>
      </c>
      <c r="K245" s="2">
        <f t="shared" si="71"/>
        <v>3.0000000000000004</v>
      </c>
      <c r="L245" s="2">
        <v>1.1253</v>
      </c>
      <c r="M245" s="2">
        <v>3482.6</v>
      </c>
      <c r="N245" s="2">
        <v>25.085999999999999</v>
      </c>
    </row>
    <row r="246" spans="1:14" x14ac:dyDescent="0.3">
      <c r="A246" s="5">
        <v>60</v>
      </c>
      <c r="B246" s="2">
        <f t="shared" si="70"/>
        <v>3.0000000000000004</v>
      </c>
      <c r="C246" s="2">
        <v>1.1308</v>
      </c>
      <c r="D246" s="5">
        <v>3677.7</v>
      </c>
      <c r="E246" s="2">
        <v>24.780999999999999</v>
      </c>
      <c r="F246" s="5">
        <f t="shared" si="68"/>
        <v>335.49897098583591</v>
      </c>
      <c r="G246" s="3">
        <f t="shared" si="69"/>
        <v>1750.0033410328085</v>
      </c>
      <c r="I246" s="2"/>
      <c r="J246" s="2">
        <v>34.761000000000003</v>
      </c>
      <c r="K246" s="2">
        <f t="shared" si="71"/>
        <v>3.0000000000000004</v>
      </c>
      <c r="L246" s="2">
        <v>1.1261000000000001</v>
      </c>
      <c r="M246" s="2">
        <v>3507.8</v>
      </c>
      <c r="N246" s="2">
        <v>25.15</v>
      </c>
    </row>
    <row r="247" spans="1:14" x14ac:dyDescent="0.3">
      <c r="A247" s="5">
        <v>70</v>
      </c>
      <c r="B247" s="2">
        <f t="shared" si="70"/>
        <v>3.0000000000000004</v>
      </c>
      <c r="C247" s="2">
        <v>1.1315</v>
      </c>
      <c r="D247" s="5">
        <v>3701.6</v>
      </c>
      <c r="E247" s="2">
        <v>24.835999999999999</v>
      </c>
      <c r="F247" s="5">
        <f t="shared" si="68"/>
        <v>334.75599935577389</v>
      </c>
      <c r="G247" s="3">
        <f t="shared" si="69"/>
        <v>1753.3398248254643</v>
      </c>
      <c r="I247" s="2"/>
      <c r="J247" s="2">
        <v>40.545000000000002</v>
      </c>
      <c r="K247" s="2">
        <f t="shared" si="71"/>
        <v>3.0000000000000004</v>
      </c>
      <c r="L247" s="2">
        <v>1.1268</v>
      </c>
      <c r="M247" s="2">
        <v>3529.1</v>
      </c>
      <c r="N247" s="2">
        <v>25.204999999999998</v>
      </c>
    </row>
    <row r="248" spans="1:14" x14ac:dyDescent="0.3">
      <c r="A248" s="5">
        <v>80</v>
      </c>
      <c r="B248" s="2">
        <f t="shared" si="70"/>
        <v>3.0000000000000004</v>
      </c>
      <c r="C248" s="2">
        <v>1.1321000000000001</v>
      </c>
      <c r="D248" s="5">
        <v>3722.4</v>
      </c>
      <c r="E248" s="2">
        <v>24.885000000000002</v>
      </c>
      <c r="F248" s="5">
        <f t="shared" si="68"/>
        <v>334.09684548925054</v>
      </c>
      <c r="G248" s="3">
        <f t="shared" si="69"/>
        <v>1756.1878537741338</v>
      </c>
      <c r="I248" s="2"/>
      <c r="J248" s="2">
        <v>46.326999999999998</v>
      </c>
      <c r="K248" s="2">
        <f t="shared" si="71"/>
        <v>3.0000000000000004</v>
      </c>
      <c r="L248" s="2">
        <v>1.1274</v>
      </c>
      <c r="M248" s="2">
        <v>3547.6</v>
      </c>
      <c r="N248" s="2">
        <v>25.251999999999999</v>
      </c>
    </row>
    <row r="249" spans="1:14" x14ac:dyDescent="0.3">
      <c r="A249" s="5">
        <v>90</v>
      </c>
      <c r="B249" s="2">
        <f t="shared" si="70"/>
        <v>3.0000000000000004</v>
      </c>
      <c r="C249" s="2">
        <v>1.1326000000000001</v>
      </c>
      <c r="D249" s="5">
        <v>3740.7</v>
      </c>
      <c r="E249" s="2">
        <v>24.928999999999998</v>
      </c>
      <c r="F249" s="5">
        <f t="shared" si="68"/>
        <v>333.50716033535241</v>
      </c>
      <c r="G249" s="3">
        <f t="shared" si="69"/>
        <v>1758.6620896449683</v>
      </c>
      <c r="I249" s="2"/>
      <c r="J249" s="2">
        <v>52.107999999999997</v>
      </c>
      <c r="K249" s="2">
        <f t="shared" si="71"/>
        <v>3.0000000000000004</v>
      </c>
      <c r="L249" s="2">
        <v>1.1279999999999999</v>
      </c>
      <c r="M249" s="2">
        <v>3564</v>
      </c>
      <c r="N249" s="2">
        <v>25.295000000000002</v>
      </c>
    </row>
    <row r="250" spans="1:14" x14ac:dyDescent="0.3">
      <c r="A250" s="5">
        <v>100</v>
      </c>
      <c r="B250" s="2">
        <f t="shared" si="70"/>
        <v>3.0000000000000004</v>
      </c>
      <c r="C250" s="2">
        <v>1.1331</v>
      </c>
      <c r="D250" s="5">
        <v>3757.2</v>
      </c>
      <c r="E250" s="2">
        <v>24.968</v>
      </c>
      <c r="F250" s="5">
        <f t="shared" si="68"/>
        <v>332.98622236462671</v>
      </c>
      <c r="G250" s="3">
        <f t="shared" si="69"/>
        <v>1760.8762138784971</v>
      </c>
      <c r="I250" s="2"/>
      <c r="J250" s="2">
        <v>57.887999999999998</v>
      </c>
      <c r="K250" s="2">
        <f t="shared" si="71"/>
        <v>3.0000000000000004</v>
      </c>
      <c r="L250" s="2">
        <v>1.1284000000000001</v>
      </c>
      <c r="M250" s="2">
        <v>3578.7</v>
      </c>
      <c r="N250" s="2">
        <v>25.332000000000001</v>
      </c>
    </row>
    <row r="251" spans="1:14" x14ac:dyDescent="0.3">
      <c r="A251" s="5">
        <v>10</v>
      </c>
      <c r="B251" s="2">
        <f t="shared" si="70"/>
        <v>3.2000000000000006</v>
      </c>
      <c r="C251" s="2">
        <v>1.1214</v>
      </c>
      <c r="D251" s="5">
        <v>3403.8</v>
      </c>
      <c r="E251" s="2">
        <v>24.669</v>
      </c>
      <c r="F251" s="5">
        <f t="shared" si="68"/>
        <v>337.02217357817506</v>
      </c>
      <c r="G251" s="3">
        <f t="shared" si="69"/>
        <v>1692.5409993653559</v>
      </c>
      <c r="I251" s="2"/>
      <c r="J251" s="2">
        <v>5.8121999999999998</v>
      </c>
      <c r="K251" s="2">
        <f t="shared" si="71"/>
        <v>3.2000000000000006</v>
      </c>
      <c r="L251" s="2">
        <v>1.117</v>
      </c>
      <c r="M251" s="2">
        <v>3263</v>
      </c>
      <c r="N251" s="2">
        <v>25.055</v>
      </c>
    </row>
    <row r="252" spans="1:14" x14ac:dyDescent="0.3">
      <c r="A252" s="5">
        <v>20</v>
      </c>
      <c r="B252" s="2">
        <f t="shared" si="70"/>
        <v>3.2000000000000006</v>
      </c>
      <c r="C252" s="2">
        <v>1.1246</v>
      </c>
      <c r="D252" s="5">
        <v>3505.4</v>
      </c>
      <c r="E252" s="2">
        <v>24.902999999999999</v>
      </c>
      <c r="F252" s="5">
        <f t="shared" si="68"/>
        <v>333.85535879211341</v>
      </c>
      <c r="G252" s="3">
        <f t="shared" si="69"/>
        <v>1707.7490595774238</v>
      </c>
      <c r="I252" s="2"/>
      <c r="J252" s="2">
        <v>11.612</v>
      </c>
      <c r="K252" s="2">
        <f t="shared" si="71"/>
        <v>3.2000000000000006</v>
      </c>
      <c r="L252" s="2">
        <v>1.1201000000000001</v>
      </c>
      <c r="M252" s="2">
        <v>3354.9</v>
      </c>
      <c r="N252" s="2">
        <v>25.288</v>
      </c>
    </row>
    <row r="253" spans="1:14" x14ac:dyDescent="0.3">
      <c r="A253" s="5">
        <v>30</v>
      </c>
      <c r="B253" s="2">
        <f t="shared" si="70"/>
        <v>3.2000000000000006</v>
      </c>
      <c r="C253" s="2">
        <v>1.1264000000000001</v>
      </c>
      <c r="D253" s="5">
        <v>3566.3</v>
      </c>
      <c r="E253" s="2">
        <v>25.045000000000002</v>
      </c>
      <c r="F253" s="5">
        <f t="shared" si="68"/>
        <v>331.96246755839485</v>
      </c>
      <c r="G253" s="3">
        <f t="shared" si="69"/>
        <v>1716.6274271092157</v>
      </c>
      <c r="I253" s="2"/>
      <c r="J253" s="2">
        <v>17.407</v>
      </c>
      <c r="K253" s="2">
        <f t="shared" si="71"/>
        <v>3.2000000000000006</v>
      </c>
      <c r="L253" s="2">
        <v>1.1217999999999999</v>
      </c>
      <c r="M253" s="2">
        <v>3409.7</v>
      </c>
      <c r="N253" s="2">
        <v>25.428999999999998</v>
      </c>
    </row>
    <row r="254" spans="1:14" x14ac:dyDescent="0.3">
      <c r="A254" s="5">
        <v>40</v>
      </c>
      <c r="B254" s="2">
        <f t="shared" si="70"/>
        <v>3.2000000000000006</v>
      </c>
      <c r="C254" s="2">
        <v>1.1276999999999999</v>
      </c>
      <c r="D254" s="5">
        <v>3610.1</v>
      </c>
      <c r="E254" s="2">
        <v>25.149000000000001</v>
      </c>
      <c r="F254" s="5">
        <f t="shared" si="68"/>
        <v>330.58968547457158</v>
      </c>
      <c r="G254" s="3">
        <f t="shared" si="69"/>
        <v>1722.8367779806044</v>
      </c>
      <c r="I254" s="2"/>
      <c r="J254" s="2">
        <v>23.199000000000002</v>
      </c>
      <c r="K254" s="2">
        <f t="shared" si="71"/>
        <v>3.2000000000000006</v>
      </c>
      <c r="L254" s="2">
        <v>1.1231</v>
      </c>
      <c r="M254" s="2">
        <v>3449</v>
      </c>
      <c r="N254" s="2">
        <v>25.53</v>
      </c>
    </row>
    <row r="255" spans="1:14" x14ac:dyDescent="0.3">
      <c r="A255" s="5">
        <v>50</v>
      </c>
      <c r="B255" s="2">
        <f t="shared" si="70"/>
        <v>3.2000000000000006</v>
      </c>
      <c r="C255" s="2">
        <v>1.1287</v>
      </c>
      <c r="D255" s="5">
        <v>3644.3</v>
      </c>
      <c r="E255" s="2">
        <v>25.23</v>
      </c>
      <c r="F255" s="5">
        <f t="shared" si="68"/>
        <v>329.52833927863657</v>
      </c>
      <c r="G255" s="3">
        <f t="shared" si="69"/>
        <v>1727.6386631395105</v>
      </c>
      <c r="I255" s="2"/>
      <c r="J255" s="2">
        <v>28.989000000000001</v>
      </c>
      <c r="K255" s="2">
        <f t="shared" si="71"/>
        <v>3.2000000000000006</v>
      </c>
      <c r="L255" s="2">
        <v>1.1241000000000001</v>
      </c>
      <c r="M255" s="2">
        <v>3479.8</v>
      </c>
      <c r="N255" s="2">
        <v>25.61</v>
      </c>
    </row>
    <row r="256" spans="1:14" x14ac:dyDescent="0.3">
      <c r="A256" s="5">
        <v>60</v>
      </c>
      <c r="B256" s="2">
        <f t="shared" si="70"/>
        <v>3.2000000000000006</v>
      </c>
      <c r="C256" s="2">
        <v>1.1294999999999999</v>
      </c>
      <c r="D256" s="5">
        <v>3672.5</v>
      </c>
      <c r="E256" s="2">
        <v>25.297000000000001</v>
      </c>
      <c r="F256" s="5">
        <f t="shared" si="68"/>
        <v>328.65557180693361</v>
      </c>
      <c r="G256" s="3">
        <f t="shared" si="69"/>
        <v>1731.5644571181226</v>
      </c>
      <c r="I256" s="2"/>
      <c r="J256" s="2">
        <v>34.777000000000001</v>
      </c>
      <c r="K256" s="2">
        <f t="shared" si="71"/>
        <v>3.2000000000000006</v>
      </c>
      <c r="L256" s="2">
        <v>1.1248</v>
      </c>
      <c r="M256" s="2">
        <v>3505.1</v>
      </c>
      <c r="N256" s="2">
        <v>25.675999999999998</v>
      </c>
    </row>
    <row r="257" spans="1:14" x14ac:dyDescent="0.3">
      <c r="A257" s="5">
        <v>70</v>
      </c>
      <c r="B257" s="2">
        <f t="shared" si="70"/>
        <v>3.2000000000000006</v>
      </c>
      <c r="C257" s="2">
        <v>1.1302000000000001</v>
      </c>
      <c r="D257" s="5">
        <v>3696.5</v>
      </c>
      <c r="E257" s="2">
        <v>25.355</v>
      </c>
      <c r="F257" s="5">
        <f t="shared" si="68"/>
        <v>327.90376651548019</v>
      </c>
      <c r="G257" s="3">
        <f t="shared" si="69"/>
        <v>1734.8331686879587</v>
      </c>
      <c r="I257" s="2"/>
      <c r="J257" s="2">
        <v>40.564</v>
      </c>
      <c r="K257" s="2">
        <f t="shared" si="71"/>
        <v>3.2000000000000006</v>
      </c>
      <c r="L257" s="2">
        <v>1.1254999999999999</v>
      </c>
      <c r="M257" s="2">
        <v>3526.6</v>
      </c>
      <c r="N257" s="2">
        <v>25.731999999999999</v>
      </c>
    </row>
    <row r="258" spans="1:14" x14ac:dyDescent="0.3">
      <c r="A258" s="5">
        <v>80</v>
      </c>
      <c r="B258" s="2">
        <f t="shared" si="70"/>
        <v>3.2000000000000006</v>
      </c>
      <c r="C258" s="2">
        <v>1.1308</v>
      </c>
      <c r="D258" s="5">
        <v>3717.3</v>
      </c>
      <c r="E258" s="2">
        <v>25.405000000000001</v>
      </c>
      <c r="F258" s="5">
        <f t="shared" si="68"/>
        <v>327.25841369809086</v>
      </c>
      <c r="G258" s="3">
        <f t="shared" si="69"/>
        <v>1737.6581755291545</v>
      </c>
      <c r="I258" s="2"/>
      <c r="J258" s="2">
        <v>46.348999999999997</v>
      </c>
      <c r="K258" s="2">
        <f t="shared" si="71"/>
        <v>3.2000000000000006</v>
      </c>
      <c r="L258" s="2">
        <v>1.1261000000000001</v>
      </c>
      <c r="M258" s="2">
        <v>3545.3</v>
      </c>
      <c r="N258" s="2">
        <v>25.780999999999999</v>
      </c>
    </row>
    <row r="259" spans="1:14" x14ac:dyDescent="0.3">
      <c r="A259" s="5">
        <v>90</v>
      </c>
      <c r="B259" s="2">
        <f t="shared" si="70"/>
        <v>3.2000000000000006</v>
      </c>
      <c r="C259" s="2">
        <v>1.1313</v>
      </c>
      <c r="D259" s="5">
        <v>3735.8</v>
      </c>
      <c r="E259" s="2">
        <v>25.45</v>
      </c>
      <c r="F259" s="5">
        <f t="shared" si="68"/>
        <v>326.67976424361495</v>
      </c>
      <c r="G259" s="3">
        <f t="shared" si="69"/>
        <v>1740.1555731209519</v>
      </c>
      <c r="I259" s="2"/>
      <c r="J259" s="2">
        <v>52.134</v>
      </c>
      <c r="K259" s="2">
        <f t="shared" si="71"/>
        <v>3.2000000000000006</v>
      </c>
      <c r="L259" s="2">
        <v>1.1266</v>
      </c>
      <c r="M259" s="2">
        <v>3561.8</v>
      </c>
      <c r="N259" s="2">
        <v>25.824999999999999</v>
      </c>
    </row>
    <row r="260" spans="1:14" x14ac:dyDescent="0.3">
      <c r="A260" s="5">
        <v>100</v>
      </c>
      <c r="B260" s="2">
        <f t="shared" si="70"/>
        <v>3.2000000000000006</v>
      </c>
      <c r="C260" s="2">
        <v>1.1317999999999999</v>
      </c>
      <c r="D260" s="5">
        <v>3752.4</v>
      </c>
      <c r="E260" s="2">
        <v>25.49</v>
      </c>
      <c r="F260" s="5">
        <f t="shared" si="68"/>
        <v>326.16712436249514</v>
      </c>
      <c r="G260" s="3">
        <f t="shared" si="69"/>
        <v>1742.3679137918186</v>
      </c>
      <c r="I260" s="2"/>
      <c r="J260" s="2">
        <v>57.917000000000002</v>
      </c>
      <c r="K260" s="2">
        <f t="shared" si="71"/>
        <v>3.2000000000000006</v>
      </c>
      <c r="L260" s="2">
        <v>1.127</v>
      </c>
      <c r="M260" s="2">
        <v>3576.6</v>
      </c>
      <c r="N260" s="2">
        <v>25.864000000000001</v>
      </c>
    </row>
    <row r="261" spans="1:14" x14ac:dyDescent="0.3">
      <c r="A261" s="5">
        <v>10</v>
      </c>
      <c r="B261" s="2">
        <f t="shared" si="70"/>
        <v>3.4000000000000008</v>
      </c>
      <c r="C261" s="2">
        <v>1.1207</v>
      </c>
      <c r="D261" s="5">
        <v>3394</v>
      </c>
      <c r="E261" s="2">
        <v>25.13</v>
      </c>
      <c r="F261" s="5">
        <f t="shared" si="68"/>
        <v>330.83963390370076</v>
      </c>
      <c r="G261" s="3">
        <f t="shared" si="69"/>
        <v>1674.9108037783576</v>
      </c>
      <c r="I261" s="2"/>
      <c r="J261" s="2">
        <v>5.8136000000000001</v>
      </c>
      <c r="K261" s="2">
        <f t="shared" si="71"/>
        <v>3.4000000000000008</v>
      </c>
      <c r="L261" s="2">
        <v>1.1164000000000001</v>
      </c>
      <c r="M261" s="2">
        <v>3254.5</v>
      </c>
      <c r="N261" s="2">
        <v>25.521999999999998</v>
      </c>
    </row>
    <row r="262" spans="1:14" x14ac:dyDescent="0.3">
      <c r="A262" s="5">
        <v>20</v>
      </c>
      <c r="B262" s="2">
        <f t="shared" si="70"/>
        <v>3.4000000000000008</v>
      </c>
      <c r="C262" s="2">
        <v>1.1238999999999999</v>
      </c>
      <c r="D262" s="5">
        <v>3495</v>
      </c>
      <c r="E262" s="2">
        <v>25.367999999999999</v>
      </c>
      <c r="F262" s="5">
        <f t="shared" si="68"/>
        <v>327.73573005361089</v>
      </c>
      <c r="G262" s="3">
        <f t="shared" si="69"/>
        <v>1689.8971780066101</v>
      </c>
      <c r="I262" s="2"/>
      <c r="J262" s="2">
        <v>11.615</v>
      </c>
      <c r="K262" s="2">
        <f t="shared" si="71"/>
        <v>3.4000000000000008</v>
      </c>
      <c r="L262" s="2">
        <v>1.1194</v>
      </c>
      <c r="M262" s="2">
        <v>3345.8</v>
      </c>
      <c r="N262" s="2">
        <v>25.757999999999999</v>
      </c>
    </row>
    <row r="263" spans="1:14" x14ac:dyDescent="0.3">
      <c r="A263" s="5">
        <v>30</v>
      </c>
      <c r="B263" s="2">
        <f t="shared" si="70"/>
        <v>3.4000000000000008</v>
      </c>
      <c r="C263" s="2">
        <v>1.1256999999999999</v>
      </c>
      <c r="D263" s="5">
        <v>3555.4</v>
      </c>
      <c r="E263" s="2">
        <v>25.512</v>
      </c>
      <c r="F263" s="5">
        <f t="shared" si="68"/>
        <v>325.88585763562247</v>
      </c>
      <c r="G263" s="3">
        <f t="shared" si="69"/>
        <v>1698.6273839066766</v>
      </c>
      <c r="I263" s="2"/>
      <c r="J263" s="2">
        <v>17.411999999999999</v>
      </c>
      <c r="K263" s="2">
        <f t="shared" si="71"/>
        <v>3.4000000000000008</v>
      </c>
      <c r="L263" s="2">
        <v>1.1211</v>
      </c>
      <c r="M263" s="2">
        <v>3400.2</v>
      </c>
      <c r="N263" s="2">
        <v>25.901</v>
      </c>
    </row>
    <row r="264" spans="1:14" x14ac:dyDescent="0.3">
      <c r="A264" s="5">
        <v>40</v>
      </c>
      <c r="B264" s="2">
        <f t="shared" si="70"/>
        <v>3.4000000000000008</v>
      </c>
      <c r="C264" s="2">
        <v>1.127</v>
      </c>
      <c r="D264" s="5">
        <v>3598.9</v>
      </c>
      <c r="E264" s="2">
        <v>25.616</v>
      </c>
      <c r="F264" s="5">
        <f t="shared" si="68"/>
        <v>324.56277326670829</v>
      </c>
      <c r="G264" s="3">
        <f t="shared" si="69"/>
        <v>1704.7962534997509</v>
      </c>
      <c r="I264" s="2"/>
      <c r="J264" s="2">
        <v>23.204999999999998</v>
      </c>
      <c r="K264" s="2">
        <f t="shared" si="71"/>
        <v>3.4000000000000008</v>
      </c>
      <c r="L264" s="2">
        <v>1.1223000000000001</v>
      </c>
      <c r="M264" s="2">
        <v>3439.4</v>
      </c>
      <c r="N264" s="2">
        <v>26.004000000000001</v>
      </c>
    </row>
    <row r="265" spans="1:14" x14ac:dyDescent="0.3">
      <c r="A265" s="5">
        <v>50</v>
      </c>
      <c r="B265" s="2">
        <f t="shared" si="70"/>
        <v>3.4000000000000008</v>
      </c>
      <c r="C265" s="2">
        <v>1.1278999999999999</v>
      </c>
      <c r="D265" s="5">
        <v>3632.9</v>
      </c>
      <c r="E265" s="2">
        <v>25.699000000000002</v>
      </c>
      <c r="F265" s="5">
        <f t="shared" si="68"/>
        <v>323.5145336394412</v>
      </c>
      <c r="G265" s="3">
        <f t="shared" si="69"/>
        <v>1709.5641265521697</v>
      </c>
      <c r="I265" s="2"/>
      <c r="J265" s="2">
        <v>28.997</v>
      </c>
      <c r="K265" s="2">
        <f t="shared" si="71"/>
        <v>3.4000000000000008</v>
      </c>
      <c r="L265" s="2">
        <v>1.1233</v>
      </c>
      <c r="M265" s="2">
        <v>3470</v>
      </c>
      <c r="N265" s="2">
        <v>26.085000000000001</v>
      </c>
    </row>
    <row r="266" spans="1:14" x14ac:dyDescent="0.3">
      <c r="A266" s="5">
        <v>60</v>
      </c>
      <c r="B266" s="2">
        <f t="shared" si="70"/>
        <v>3.4000000000000008</v>
      </c>
      <c r="C266" s="2">
        <v>1.1287</v>
      </c>
      <c r="D266" s="5">
        <v>3660.9</v>
      </c>
      <c r="E266" s="2">
        <v>25.766999999999999</v>
      </c>
      <c r="F266" s="5">
        <f t="shared" si="68"/>
        <v>322.66076764854273</v>
      </c>
      <c r="G266" s="3">
        <f t="shared" si="69"/>
        <v>1713.4304618497413</v>
      </c>
      <c r="I266" s="2"/>
      <c r="J266" s="2">
        <v>34.786999999999999</v>
      </c>
      <c r="K266" s="2">
        <f t="shared" si="71"/>
        <v>3.4000000000000008</v>
      </c>
      <c r="L266" s="2">
        <v>1.1241000000000001</v>
      </c>
      <c r="M266" s="2">
        <v>3495.1</v>
      </c>
      <c r="N266" s="2">
        <v>26.152000000000001</v>
      </c>
    </row>
    <row r="267" spans="1:14" x14ac:dyDescent="0.3">
      <c r="A267" s="5">
        <v>70</v>
      </c>
      <c r="B267" s="2">
        <f t="shared" si="70"/>
        <v>3.4000000000000008</v>
      </c>
      <c r="C267" s="2">
        <v>1.1294</v>
      </c>
      <c r="D267" s="5">
        <v>3684.7</v>
      </c>
      <c r="E267" s="2">
        <v>25.824999999999999</v>
      </c>
      <c r="F267" s="5">
        <f t="shared" si="68"/>
        <v>321.93610842207164</v>
      </c>
      <c r="G267" s="3">
        <f t="shared" si="69"/>
        <v>1716.6714862563713</v>
      </c>
      <c r="I267" s="2"/>
      <c r="J267" s="2">
        <v>40.575000000000003</v>
      </c>
      <c r="K267" s="2">
        <f t="shared" si="71"/>
        <v>3.4000000000000008</v>
      </c>
      <c r="L267" s="2">
        <v>1.1247</v>
      </c>
      <c r="M267" s="2">
        <v>3516.5</v>
      </c>
      <c r="N267" s="2">
        <v>26.209</v>
      </c>
    </row>
    <row r="268" spans="1:14" x14ac:dyDescent="0.3">
      <c r="A268" s="5">
        <v>80</v>
      </c>
      <c r="B268" s="2">
        <f t="shared" si="70"/>
        <v>3.4000000000000008</v>
      </c>
      <c r="C268" s="2">
        <v>1.1299999999999999</v>
      </c>
      <c r="D268" s="5">
        <v>3705.4</v>
      </c>
      <c r="E268" s="2">
        <v>25.876000000000001</v>
      </c>
      <c r="F268" s="5">
        <f t="shared" si="68"/>
        <v>321.30159220899674</v>
      </c>
      <c r="G268" s="3">
        <f t="shared" si="69"/>
        <v>1719.4563995872982</v>
      </c>
      <c r="I268" s="2"/>
      <c r="J268" s="2">
        <v>46.363</v>
      </c>
      <c r="K268" s="2">
        <f t="shared" si="71"/>
        <v>3.4000000000000008</v>
      </c>
      <c r="L268" s="2">
        <v>1.1253</v>
      </c>
      <c r="M268" s="2">
        <v>3535.1</v>
      </c>
      <c r="N268" s="2">
        <v>26.259</v>
      </c>
    </row>
    <row r="269" spans="1:14" x14ac:dyDescent="0.3">
      <c r="A269" s="5">
        <v>90</v>
      </c>
      <c r="B269" s="2">
        <f t="shared" si="70"/>
        <v>3.4000000000000008</v>
      </c>
      <c r="C269" s="2">
        <v>1.1305000000000001</v>
      </c>
      <c r="D269" s="5">
        <v>3723.8</v>
      </c>
      <c r="E269" s="2">
        <v>25.922000000000001</v>
      </c>
      <c r="F269" s="5">
        <f t="shared" si="68"/>
        <v>320.73142504436385</v>
      </c>
      <c r="G269" s="3">
        <f t="shared" si="69"/>
        <v>1721.9124621510944</v>
      </c>
      <c r="I269" s="2"/>
      <c r="J269" s="2">
        <v>52.149000000000001</v>
      </c>
      <c r="K269" s="2">
        <f t="shared" si="71"/>
        <v>3.4000000000000008</v>
      </c>
      <c r="L269" s="2">
        <v>1.1257999999999999</v>
      </c>
      <c r="M269" s="2">
        <v>3551.5</v>
      </c>
      <c r="N269" s="2">
        <v>26.303000000000001</v>
      </c>
    </row>
    <row r="270" spans="1:14" x14ac:dyDescent="0.3">
      <c r="A270" s="5">
        <v>100</v>
      </c>
      <c r="B270" s="2">
        <f t="shared" si="70"/>
        <v>3.4000000000000008</v>
      </c>
      <c r="C270" s="2">
        <v>1.1309</v>
      </c>
      <c r="D270" s="5">
        <v>3740.2</v>
      </c>
      <c r="E270" s="2">
        <v>25.963000000000001</v>
      </c>
      <c r="F270" s="5">
        <f t="shared" si="68"/>
        <v>320.22493548511346</v>
      </c>
      <c r="G270" s="3">
        <f t="shared" si="69"/>
        <v>1724.114557724552</v>
      </c>
      <c r="I270" s="2"/>
      <c r="J270" s="2">
        <v>57.933999999999997</v>
      </c>
      <c r="K270" s="2">
        <f t="shared" si="71"/>
        <v>3.4000000000000008</v>
      </c>
      <c r="L270" s="2">
        <v>1.1262000000000001</v>
      </c>
      <c r="M270" s="2">
        <v>3566.3</v>
      </c>
      <c r="N270" s="2">
        <v>26.343</v>
      </c>
    </row>
    <row r="271" spans="1:14" x14ac:dyDescent="0.3">
      <c r="A271" s="5">
        <v>10</v>
      </c>
      <c r="B271" s="2">
        <f t="shared" si="70"/>
        <v>3.600000000000001</v>
      </c>
      <c r="C271" s="2">
        <v>1.1203000000000001</v>
      </c>
      <c r="D271" s="5">
        <v>3381.4</v>
      </c>
      <c r="E271" s="2">
        <v>25.556999999999999</v>
      </c>
      <c r="F271" s="5">
        <f t="shared" si="68"/>
        <v>325.31204757991947</v>
      </c>
      <c r="G271" s="3">
        <f t="shared" si="69"/>
        <v>1657.9902976309595</v>
      </c>
      <c r="I271" s="2"/>
      <c r="J271" s="2">
        <v>5.8144</v>
      </c>
      <c r="K271" s="2">
        <f t="shared" si="71"/>
        <v>3.600000000000001</v>
      </c>
      <c r="L271" s="2">
        <v>1.1160000000000001</v>
      </c>
      <c r="M271" s="2">
        <v>3242.7</v>
      </c>
      <c r="N271" s="2">
        <v>25.952999999999999</v>
      </c>
    </row>
    <row r="272" spans="1:14" x14ac:dyDescent="0.3">
      <c r="A272" s="5">
        <v>20</v>
      </c>
      <c r="B272" s="2">
        <f t="shared" si="70"/>
        <v>3.600000000000001</v>
      </c>
      <c r="C272" s="2">
        <v>1.1234</v>
      </c>
      <c r="D272" s="5">
        <v>3481.2</v>
      </c>
      <c r="E272" s="2">
        <v>25.795999999999999</v>
      </c>
      <c r="F272" s="5">
        <f t="shared" si="68"/>
        <v>322.29803070243452</v>
      </c>
      <c r="G272" s="3">
        <f t="shared" si="69"/>
        <v>1672.7793563178841</v>
      </c>
      <c r="I272" s="2"/>
      <c r="J272" s="2">
        <v>11.617000000000001</v>
      </c>
      <c r="K272" s="2">
        <f t="shared" si="71"/>
        <v>3.600000000000001</v>
      </c>
      <c r="L272" s="2">
        <v>1.119</v>
      </c>
      <c r="M272" s="2">
        <v>3332.9</v>
      </c>
      <c r="N272" s="2">
        <v>26.19</v>
      </c>
    </row>
    <row r="273" spans="1:14" x14ac:dyDescent="0.3">
      <c r="A273" s="5">
        <v>30</v>
      </c>
      <c r="B273" s="2">
        <f t="shared" si="70"/>
        <v>3.600000000000001</v>
      </c>
      <c r="C273" s="2">
        <v>1.1252</v>
      </c>
      <c r="D273" s="5">
        <v>3540.9</v>
      </c>
      <c r="E273" s="2">
        <v>25.940999999999999</v>
      </c>
      <c r="F273" s="5">
        <f t="shared" si="68"/>
        <v>320.49651131413594</v>
      </c>
      <c r="G273" s="3">
        <f t="shared" si="69"/>
        <v>1681.3573486966332</v>
      </c>
      <c r="I273" s="2"/>
      <c r="J273" s="2">
        <v>17.414000000000001</v>
      </c>
      <c r="K273" s="2">
        <f t="shared" si="71"/>
        <v>3.600000000000001</v>
      </c>
      <c r="L273" s="2">
        <v>1.1207</v>
      </c>
      <c r="M273" s="2">
        <v>3386.7</v>
      </c>
      <c r="N273" s="2">
        <v>26.332999999999998</v>
      </c>
    </row>
    <row r="274" spans="1:14" x14ac:dyDescent="0.3">
      <c r="A274" s="5">
        <v>40</v>
      </c>
      <c r="B274" s="2">
        <f t="shared" si="70"/>
        <v>3.600000000000001</v>
      </c>
      <c r="C274" s="2">
        <v>1.1264000000000001</v>
      </c>
      <c r="D274" s="5">
        <v>3583.8</v>
      </c>
      <c r="E274" s="2">
        <v>26.045999999999999</v>
      </c>
      <c r="F274" s="5">
        <f t="shared" si="68"/>
        <v>319.2044843738002</v>
      </c>
      <c r="G274" s="3">
        <f t="shared" si="69"/>
        <v>1687.4425377606715</v>
      </c>
      <c r="I274" s="2"/>
      <c r="J274" s="2">
        <v>23.209</v>
      </c>
      <c r="K274" s="2">
        <f t="shared" si="71"/>
        <v>3.600000000000001</v>
      </c>
      <c r="L274" s="2">
        <v>1.1218999999999999</v>
      </c>
      <c r="M274" s="2">
        <v>3425.3</v>
      </c>
      <c r="N274" s="2">
        <v>26.437000000000001</v>
      </c>
    </row>
    <row r="275" spans="1:14" x14ac:dyDescent="0.3">
      <c r="A275" s="5">
        <v>50</v>
      </c>
      <c r="B275" s="2">
        <f t="shared" si="70"/>
        <v>3.600000000000001</v>
      </c>
      <c r="C275" s="2">
        <v>1.1274</v>
      </c>
      <c r="D275" s="5">
        <v>3617.4</v>
      </c>
      <c r="E275" s="2">
        <v>26.129000000000001</v>
      </c>
      <c r="F275" s="5">
        <f t="shared" si="68"/>
        <v>318.190516284588</v>
      </c>
      <c r="G275" s="3">
        <f t="shared" si="69"/>
        <v>1692.0917232932236</v>
      </c>
      <c r="I275" s="2"/>
      <c r="J275" s="2">
        <v>29.001000000000001</v>
      </c>
      <c r="K275" s="2">
        <f t="shared" si="71"/>
        <v>3.600000000000001</v>
      </c>
      <c r="L275" s="2">
        <v>1.1229</v>
      </c>
      <c r="M275" s="2">
        <v>3455.5</v>
      </c>
      <c r="N275" s="2">
        <v>26.518000000000001</v>
      </c>
    </row>
    <row r="276" spans="1:14" x14ac:dyDescent="0.3">
      <c r="A276" s="5">
        <v>60</v>
      </c>
      <c r="B276" s="2">
        <f t="shared" si="70"/>
        <v>3.600000000000001</v>
      </c>
      <c r="C276" s="2">
        <v>1.1282000000000001</v>
      </c>
      <c r="D276" s="5">
        <v>3645</v>
      </c>
      <c r="E276" s="2">
        <v>26.198</v>
      </c>
      <c r="F276" s="5">
        <f t="shared" si="68"/>
        <v>317.35246965417207</v>
      </c>
      <c r="G276" s="3">
        <f t="shared" si="69"/>
        <v>1695.8575028591788</v>
      </c>
      <c r="I276" s="2"/>
      <c r="J276" s="2">
        <v>34.792000000000002</v>
      </c>
      <c r="K276" s="2">
        <f t="shared" si="71"/>
        <v>3.600000000000001</v>
      </c>
      <c r="L276" s="2">
        <v>1.1235999999999999</v>
      </c>
      <c r="M276" s="2">
        <v>3480.4</v>
      </c>
      <c r="N276" s="2">
        <v>26.585999999999999</v>
      </c>
    </row>
    <row r="277" spans="1:14" x14ac:dyDescent="0.3">
      <c r="A277" s="5">
        <v>70</v>
      </c>
      <c r="B277" s="2">
        <f t="shared" si="70"/>
        <v>3.600000000000001</v>
      </c>
      <c r="C277" s="2">
        <v>1.1289</v>
      </c>
      <c r="D277" s="5">
        <v>3668.5</v>
      </c>
      <c r="E277" s="2">
        <v>26.256</v>
      </c>
      <c r="F277" s="5">
        <f t="shared" si="68"/>
        <v>316.65143205362585</v>
      </c>
      <c r="G277" s="3">
        <f t="shared" si="69"/>
        <v>1699.0509322723835</v>
      </c>
      <c r="I277" s="2"/>
      <c r="J277" s="2">
        <v>40.582000000000001</v>
      </c>
      <c r="K277" s="2">
        <f t="shared" si="71"/>
        <v>3.600000000000001</v>
      </c>
      <c r="L277" s="2">
        <v>1.1243000000000001</v>
      </c>
      <c r="M277" s="2">
        <v>3501.4</v>
      </c>
      <c r="N277" s="2">
        <v>26.643000000000001</v>
      </c>
    </row>
    <row r="278" spans="1:14" x14ac:dyDescent="0.3">
      <c r="A278" s="5">
        <v>80</v>
      </c>
      <c r="B278" s="2">
        <f t="shared" si="70"/>
        <v>3.600000000000001</v>
      </c>
      <c r="C278" s="2">
        <v>1.1294</v>
      </c>
      <c r="D278" s="5">
        <v>3689</v>
      </c>
      <c r="E278" s="2">
        <v>26.306999999999999</v>
      </c>
      <c r="F278" s="5">
        <f t="shared" si="68"/>
        <v>316.03755654388567</v>
      </c>
      <c r="G278" s="3">
        <f t="shared" si="69"/>
        <v>1701.8644119242008</v>
      </c>
      <c r="I278" s="2"/>
      <c r="J278" s="2">
        <v>46.37</v>
      </c>
      <c r="K278" s="2">
        <f t="shared" si="71"/>
        <v>3.600000000000001</v>
      </c>
      <c r="L278" s="2">
        <v>1.1248</v>
      </c>
      <c r="M278" s="2">
        <v>3519.8</v>
      </c>
      <c r="N278" s="2">
        <v>26.693000000000001</v>
      </c>
    </row>
    <row r="279" spans="1:14" x14ac:dyDescent="0.3">
      <c r="A279" s="5">
        <v>90</v>
      </c>
      <c r="B279" s="2">
        <f t="shared" si="70"/>
        <v>3.600000000000001</v>
      </c>
      <c r="C279" s="2">
        <v>1.1298999999999999</v>
      </c>
      <c r="D279" s="5">
        <v>3707.1</v>
      </c>
      <c r="E279" s="2">
        <v>26.353000000000002</v>
      </c>
      <c r="F279" s="5">
        <f t="shared" si="68"/>
        <v>315.48590293325236</v>
      </c>
      <c r="G279" s="3">
        <f t="shared" si="69"/>
        <v>1704.2697015018696</v>
      </c>
      <c r="I279" s="2"/>
      <c r="J279" s="2">
        <v>52.156999999999996</v>
      </c>
      <c r="K279" s="2">
        <f t="shared" si="71"/>
        <v>3.600000000000001</v>
      </c>
      <c r="L279" s="2">
        <v>1.1253</v>
      </c>
      <c r="M279" s="2">
        <v>3536</v>
      </c>
      <c r="N279" s="2">
        <v>26.738</v>
      </c>
    </row>
    <row r="280" spans="1:14" x14ac:dyDescent="0.3">
      <c r="A280" s="5">
        <v>100</v>
      </c>
      <c r="B280" s="2">
        <f t="shared" si="70"/>
        <v>3.600000000000001</v>
      </c>
      <c r="C280" s="2">
        <v>1.1304000000000001</v>
      </c>
      <c r="D280" s="5">
        <v>3723.3</v>
      </c>
      <c r="E280" s="2">
        <v>26.393999999999998</v>
      </c>
      <c r="F280" s="5">
        <f t="shared" si="68"/>
        <v>314.99583238614838</v>
      </c>
      <c r="G280" s="3">
        <f t="shared" si="69"/>
        <v>1706.3871141125412</v>
      </c>
      <c r="I280" s="2"/>
      <c r="J280" s="2">
        <v>57.942999999999998</v>
      </c>
      <c r="K280" s="2">
        <f t="shared" si="71"/>
        <v>3.600000000000001</v>
      </c>
      <c r="L280" s="2">
        <v>1.1256999999999999</v>
      </c>
      <c r="M280" s="2">
        <v>3550.6</v>
      </c>
      <c r="N280" s="2">
        <v>26.777999999999999</v>
      </c>
    </row>
    <row r="281" spans="1:14" x14ac:dyDescent="0.3">
      <c r="A281" s="5">
        <v>10</v>
      </c>
      <c r="B281" s="2">
        <f t="shared" si="70"/>
        <v>3.8000000000000012</v>
      </c>
      <c r="C281" s="2">
        <v>1.1198999999999999</v>
      </c>
      <c r="D281" s="5">
        <v>3366.8</v>
      </c>
      <c r="E281" s="2">
        <v>25.952999999999999</v>
      </c>
      <c r="F281" s="5">
        <f t="shared" si="68"/>
        <v>320.348321966632</v>
      </c>
      <c r="G281" s="3">
        <f t="shared" si="69"/>
        <v>1641.950974868668</v>
      </c>
      <c r="I281" s="2"/>
      <c r="J281" s="2">
        <v>5.8148</v>
      </c>
      <c r="K281" s="2">
        <f t="shared" si="71"/>
        <v>3.8000000000000012</v>
      </c>
      <c r="L281" s="2">
        <v>1.1157999999999999</v>
      </c>
      <c r="M281" s="2">
        <v>3228.7</v>
      </c>
      <c r="N281" s="2">
        <v>26.352</v>
      </c>
    </row>
    <row r="282" spans="1:14" x14ac:dyDescent="0.3">
      <c r="A282" s="5">
        <v>20</v>
      </c>
      <c r="B282" s="2">
        <f t="shared" si="70"/>
        <v>3.8000000000000012</v>
      </c>
      <c r="C282" s="2">
        <v>1.123</v>
      </c>
      <c r="D282" s="5">
        <v>3465.1</v>
      </c>
      <c r="E282" s="2">
        <v>26.192</v>
      </c>
      <c r="F282" s="5">
        <f t="shared" si="68"/>
        <v>317.42516799022604</v>
      </c>
      <c r="G282" s="3">
        <f t="shared" si="69"/>
        <v>1656.4578202816374</v>
      </c>
      <c r="I282" s="2"/>
      <c r="J282" s="2">
        <v>11.617000000000001</v>
      </c>
      <c r="K282" s="2">
        <f t="shared" si="71"/>
        <v>3.8000000000000012</v>
      </c>
      <c r="L282" s="2">
        <v>1.1187</v>
      </c>
      <c r="M282" s="2">
        <v>3317.4</v>
      </c>
      <c r="N282" s="2">
        <v>26.588999999999999</v>
      </c>
    </row>
    <row r="283" spans="1:14" x14ac:dyDescent="0.3">
      <c r="A283" s="5">
        <v>30</v>
      </c>
      <c r="B283" s="2">
        <f t="shared" si="70"/>
        <v>3.8000000000000012</v>
      </c>
      <c r="C283" s="2">
        <v>1.1248</v>
      </c>
      <c r="D283" s="5">
        <v>3523.8</v>
      </c>
      <c r="E283" s="2">
        <v>26.337</v>
      </c>
      <c r="F283" s="5">
        <f t="shared" si="68"/>
        <v>315.67756388350989</v>
      </c>
      <c r="G283" s="3">
        <f t="shared" si="69"/>
        <v>1664.8510472133871</v>
      </c>
      <c r="I283" s="2"/>
      <c r="J283" s="2">
        <v>17.414999999999999</v>
      </c>
      <c r="K283" s="2">
        <f t="shared" si="71"/>
        <v>3.8000000000000012</v>
      </c>
      <c r="L283" s="2">
        <v>1.1205000000000001</v>
      </c>
      <c r="M283" s="2">
        <v>3370.4</v>
      </c>
      <c r="N283" s="2">
        <v>26.731999999999999</v>
      </c>
    </row>
    <row r="284" spans="1:14" x14ac:dyDescent="0.3">
      <c r="A284" s="5">
        <v>40</v>
      </c>
      <c r="B284" s="2">
        <f t="shared" si="70"/>
        <v>3.8000000000000012</v>
      </c>
      <c r="C284" s="2">
        <v>1.1261000000000001</v>
      </c>
      <c r="D284" s="5">
        <v>3566</v>
      </c>
      <c r="E284" s="2">
        <v>26.443000000000001</v>
      </c>
      <c r="F284" s="5">
        <f t="shared" si="68"/>
        <v>314.41213175509586</v>
      </c>
      <c r="G284" s="3">
        <f t="shared" si="69"/>
        <v>1670.7256697598789</v>
      </c>
      <c r="I284" s="2"/>
      <c r="J284" s="2">
        <v>23.21</v>
      </c>
      <c r="K284" s="2">
        <f t="shared" si="71"/>
        <v>3.8000000000000012</v>
      </c>
      <c r="L284" s="2">
        <v>1.1216999999999999</v>
      </c>
      <c r="M284" s="2">
        <v>3408.3</v>
      </c>
      <c r="N284" s="2">
        <v>26.835000000000001</v>
      </c>
    </row>
    <row r="285" spans="1:14" x14ac:dyDescent="0.3">
      <c r="A285" s="5">
        <v>50</v>
      </c>
      <c r="B285" s="2">
        <f t="shared" si="70"/>
        <v>3.8000000000000012</v>
      </c>
      <c r="C285" s="2">
        <v>1.1271</v>
      </c>
      <c r="D285" s="5">
        <v>3599.1</v>
      </c>
      <c r="E285" s="2">
        <v>26.524999999999999</v>
      </c>
      <c r="F285" s="5">
        <f t="shared" si="68"/>
        <v>313.44015080113104</v>
      </c>
      <c r="G285" s="3">
        <f t="shared" si="69"/>
        <v>1675.322621497251</v>
      </c>
      <c r="I285" s="2"/>
      <c r="J285" s="2">
        <v>29.003</v>
      </c>
      <c r="K285" s="2">
        <f t="shared" si="71"/>
        <v>3.8000000000000012</v>
      </c>
      <c r="L285" s="2">
        <v>1.1226</v>
      </c>
      <c r="M285" s="2">
        <v>3438</v>
      </c>
      <c r="N285" s="2">
        <v>26.917000000000002</v>
      </c>
    </row>
    <row r="286" spans="1:14" x14ac:dyDescent="0.3">
      <c r="A286" s="5">
        <v>60</v>
      </c>
      <c r="B286" s="2">
        <f t="shared" si="70"/>
        <v>3.8000000000000012</v>
      </c>
      <c r="C286" s="2">
        <v>1.1278999999999999</v>
      </c>
      <c r="D286" s="5">
        <v>3626.3</v>
      </c>
      <c r="E286" s="2">
        <v>26.594000000000001</v>
      </c>
      <c r="F286" s="5">
        <f t="shared" si="68"/>
        <v>312.62690832518615</v>
      </c>
      <c r="G286" s="3">
        <f t="shared" si="69"/>
        <v>1679.023672270825</v>
      </c>
      <c r="I286" s="2"/>
      <c r="J286" s="2">
        <v>34.793999999999997</v>
      </c>
      <c r="K286" s="2">
        <f t="shared" si="71"/>
        <v>3.8000000000000012</v>
      </c>
      <c r="L286" s="2">
        <v>1.1234</v>
      </c>
      <c r="M286" s="2">
        <v>3462.3</v>
      </c>
      <c r="N286" s="2">
        <v>26.984000000000002</v>
      </c>
    </row>
    <row r="287" spans="1:14" x14ac:dyDescent="0.3">
      <c r="A287" s="5">
        <v>70</v>
      </c>
      <c r="B287" s="2">
        <f t="shared" si="70"/>
        <v>3.8000000000000012</v>
      </c>
      <c r="C287" s="2">
        <v>1.1286</v>
      </c>
      <c r="D287" s="5">
        <v>3649.4</v>
      </c>
      <c r="E287" s="2">
        <v>26.652000000000001</v>
      </c>
      <c r="F287" s="5">
        <f t="shared" si="68"/>
        <v>311.94657061383765</v>
      </c>
      <c r="G287" s="3">
        <f t="shared" si="69"/>
        <v>1682.1485436737917</v>
      </c>
      <c r="I287" s="2"/>
      <c r="J287" s="2">
        <v>40.584000000000003</v>
      </c>
      <c r="K287" s="2">
        <f t="shared" si="71"/>
        <v>3.8000000000000012</v>
      </c>
      <c r="L287" s="2">
        <v>1.1241000000000001</v>
      </c>
      <c r="M287" s="2">
        <v>3483</v>
      </c>
      <c r="N287" s="2">
        <v>27.041</v>
      </c>
    </row>
    <row r="288" spans="1:14" x14ac:dyDescent="0.3">
      <c r="A288" s="5">
        <v>80</v>
      </c>
      <c r="B288" s="2">
        <f t="shared" si="70"/>
        <v>3.8000000000000012</v>
      </c>
      <c r="C288" s="2">
        <v>1.1291</v>
      </c>
      <c r="D288" s="5">
        <v>3669.4</v>
      </c>
      <c r="E288" s="2">
        <v>26.704000000000001</v>
      </c>
      <c r="F288" s="5">
        <f t="shared" si="68"/>
        <v>311.3391252246854</v>
      </c>
      <c r="G288" s="3">
        <f t="shared" si="69"/>
        <v>1684.8363798470186</v>
      </c>
      <c r="I288" s="2"/>
      <c r="J288" s="2">
        <v>46.372999999999998</v>
      </c>
      <c r="K288" s="2">
        <f t="shared" si="71"/>
        <v>3.8000000000000012</v>
      </c>
      <c r="L288" s="2">
        <v>1.1246</v>
      </c>
      <c r="M288" s="2">
        <v>3501</v>
      </c>
      <c r="N288" s="2">
        <v>27.091000000000001</v>
      </c>
    </row>
    <row r="289" spans="1:14" x14ac:dyDescent="0.3">
      <c r="A289" s="5">
        <v>90</v>
      </c>
      <c r="B289" s="2">
        <f t="shared" si="70"/>
        <v>3.8000000000000012</v>
      </c>
      <c r="C289" s="2">
        <v>1.1295999999999999</v>
      </c>
      <c r="D289" s="5">
        <v>3687.2</v>
      </c>
      <c r="E289" s="2">
        <v>26.748999999999999</v>
      </c>
      <c r="F289" s="5">
        <f t="shared" si="68"/>
        <v>310.81535758346109</v>
      </c>
      <c r="G289" s="3">
        <f t="shared" si="69"/>
        <v>1687.2243087538839</v>
      </c>
      <c r="I289" s="2"/>
      <c r="J289" s="2">
        <v>52.16</v>
      </c>
      <c r="K289" s="2">
        <f t="shared" si="71"/>
        <v>3.8000000000000012</v>
      </c>
      <c r="L289" s="2">
        <v>1.1251</v>
      </c>
      <c r="M289" s="2">
        <v>3516.9</v>
      </c>
      <c r="N289" s="2">
        <v>27.135000000000002</v>
      </c>
    </row>
    <row r="290" spans="1:14" x14ac:dyDescent="0.3">
      <c r="A290" s="5">
        <v>100</v>
      </c>
      <c r="B290" s="2">
        <f t="shared" si="70"/>
        <v>3.8000000000000012</v>
      </c>
      <c r="C290" s="2">
        <v>1.1301000000000001</v>
      </c>
      <c r="D290" s="5">
        <v>3703.2</v>
      </c>
      <c r="E290" s="2">
        <v>26.79</v>
      </c>
      <c r="F290" s="5">
        <f t="shared" si="68"/>
        <v>310.33967898469575</v>
      </c>
      <c r="G290" s="3">
        <f t="shared" si="69"/>
        <v>1689.3140967684528</v>
      </c>
      <c r="I290" s="2"/>
      <c r="J290" s="2">
        <v>57.947000000000003</v>
      </c>
      <c r="K290" s="2">
        <f t="shared" si="71"/>
        <v>3.8000000000000012</v>
      </c>
      <c r="L290" s="2">
        <v>1.1255999999999999</v>
      </c>
      <c r="M290" s="2">
        <v>3531.2</v>
      </c>
      <c r="N290" s="2">
        <v>27.175000000000001</v>
      </c>
    </row>
    <row r="291" spans="1:14" x14ac:dyDescent="0.3">
      <c r="A291" s="5">
        <v>10</v>
      </c>
      <c r="B291" s="2">
        <f t="shared" si="70"/>
        <v>4.0000000000000009</v>
      </c>
      <c r="C291" s="2">
        <v>1.1197999999999999</v>
      </c>
      <c r="D291" s="5">
        <v>3350.7</v>
      </c>
      <c r="E291" s="2">
        <v>26.321999999999999</v>
      </c>
      <c r="F291" s="5">
        <f t="shared" si="68"/>
        <v>315.85745763999694</v>
      </c>
      <c r="G291" s="3">
        <f t="shared" si="69"/>
        <v>1626.551468398163</v>
      </c>
      <c r="I291" s="2"/>
      <c r="J291" s="2">
        <v>5.8150000000000004</v>
      </c>
      <c r="K291" s="2">
        <f t="shared" si="71"/>
        <v>4.0000000000000009</v>
      </c>
      <c r="L291" s="2">
        <v>1.1156999999999999</v>
      </c>
      <c r="M291" s="2">
        <v>3213</v>
      </c>
      <c r="N291" s="2">
        <v>26.722999999999999</v>
      </c>
    </row>
    <row r="292" spans="1:14" x14ac:dyDescent="0.3">
      <c r="A292" s="5">
        <v>20</v>
      </c>
      <c r="B292" s="2">
        <f t="shared" si="70"/>
        <v>4.0000000000000009</v>
      </c>
      <c r="C292" s="2">
        <v>1.1229</v>
      </c>
      <c r="D292" s="5">
        <v>3447.3</v>
      </c>
      <c r="E292" s="2">
        <v>26.561</v>
      </c>
      <c r="F292" s="5">
        <f t="shared" si="68"/>
        <v>313.01532321825232</v>
      </c>
      <c r="G292" s="3">
        <f t="shared" si="69"/>
        <v>1640.7343722155567</v>
      </c>
      <c r="I292" s="2"/>
      <c r="J292" s="2">
        <v>11.618</v>
      </c>
      <c r="K292" s="2">
        <f t="shared" si="71"/>
        <v>4.0000000000000009</v>
      </c>
      <c r="L292" s="2">
        <v>1.1187</v>
      </c>
      <c r="M292" s="2">
        <v>3300.1</v>
      </c>
      <c r="N292" s="2">
        <v>26.959</v>
      </c>
    </row>
    <row r="293" spans="1:14" x14ac:dyDescent="0.3">
      <c r="A293" s="5">
        <v>30</v>
      </c>
      <c r="B293" s="2">
        <f t="shared" si="70"/>
        <v>4.0000000000000009</v>
      </c>
      <c r="C293" s="2">
        <v>1.1247</v>
      </c>
      <c r="D293" s="5">
        <v>3505</v>
      </c>
      <c r="E293" s="2">
        <v>26.704999999999998</v>
      </c>
      <c r="F293" s="5">
        <f t="shared" si="68"/>
        <v>311.32746676652312</v>
      </c>
      <c r="G293" s="3">
        <f t="shared" si="69"/>
        <v>1648.9774747118684</v>
      </c>
      <c r="I293" s="2"/>
      <c r="J293" s="2">
        <v>17.416</v>
      </c>
      <c r="K293" s="2">
        <f t="shared" si="71"/>
        <v>4.0000000000000009</v>
      </c>
      <c r="L293" s="2">
        <v>1.1204000000000001</v>
      </c>
      <c r="M293" s="2">
        <v>3352</v>
      </c>
      <c r="N293" s="2">
        <v>27.100999999999999</v>
      </c>
    </row>
    <row r="294" spans="1:14" x14ac:dyDescent="0.3">
      <c r="A294" s="5">
        <v>40</v>
      </c>
      <c r="B294" s="2">
        <f t="shared" si="70"/>
        <v>4.0000000000000009</v>
      </c>
      <c r="C294" s="2">
        <v>1.1258999999999999</v>
      </c>
      <c r="D294" s="5">
        <v>3546.5</v>
      </c>
      <c r="E294" s="2">
        <v>26.81</v>
      </c>
      <c r="F294" s="5">
        <f t="shared" ref="F294:F300" si="72">8.314/E294*1000</f>
        <v>310.10816859380827</v>
      </c>
      <c r="G294" s="3">
        <f t="shared" ref="G294:G300" si="73">SQRT(F294*D294/C294*((C294+1)/2)^((C294+1)/(C294-1)))</f>
        <v>1654.8154284758582</v>
      </c>
      <c r="I294" s="2"/>
      <c r="J294" s="2">
        <v>23.210999999999999</v>
      </c>
      <c r="K294" s="2">
        <f t="shared" si="71"/>
        <v>4.0000000000000009</v>
      </c>
      <c r="L294" s="2">
        <v>1.1216999999999999</v>
      </c>
      <c r="M294" s="2">
        <v>3389.2</v>
      </c>
      <c r="N294" s="2">
        <v>27.202999999999999</v>
      </c>
    </row>
    <row r="295" spans="1:14" x14ac:dyDescent="0.3">
      <c r="A295" s="5">
        <v>50</v>
      </c>
      <c r="B295" s="2">
        <f t="shared" si="70"/>
        <v>4.0000000000000009</v>
      </c>
      <c r="C295" s="2">
        <v>1.1269</v>
      </c>
      <c r="D295" s="5">
        <v>3578.8</v>
      </c>
      <c r="E295" s="2">
        <v>26.891999999999999</v>
      </c>
      <c r="F295" s="5">
        <f t="shared" si="72"/>
        <v>309.16257623084931</v>
      </c>
      <c r="G295" s="3">
        <f t="shared" si="73"/>
        <v>1659.260108565464</v>
      </c>
      <c r="I295" s="2"/>
      <c r="J295" s="2">
        <v>29.004000000000001</v>
      </c>
      <c r="K295" s="2">
        <f t="shared" si="71"/>
        <v>4.0000000000000009</v>
      </c>
      <c r="L295" s="2">
        <v>1.1226</v>
      </c>
      <c r="M295" s="2">
        <v>3418.2</v>
      </c>
      <c r="N295" s="2">
        <v>27.283999999999999</v>
      </c>
    </row>
    <row r="296" spans="1:14" x14ac:dyDescent="0.3">
      <c r="A296" s="5">
        <v>60</v>
      </c>
      <c r="B296" s="2">
        <f t="shared" si="70"/>
        <v>4.0000000000000009</v>
      </c>
      <c r="C296" s="2">
        <v>1.1276999999999999</v>
      </c>
      <c r="D296" s="5">
        <v>3605.5</v>
      </c>
      <c r="E296" s="2">
        <v>26.96</v>
      </c>
      <c r="F296" s="5">
        <f t="shared" si="72"/>
        <v>308.38278931750739</v>
      </c>
      <c r="G296" s="3">
        <f t="shared" si="73"/>
        <v>1662.9059400290737</v>
      </c>
      <c r="I296" s="2"/>
      <c r="J296" s="2">
        <v>34.795000000000002</v>
      </c>
      <c r="K296" s="2">
        <f t="shared" si="71"/>
        <v>4.0000000000000009</v>
      </c>
      <c r="L296" s="2">
        <v>1.1234</v>
      </c>
      <c r="M296" s="2">
        <v>3442</v>
      </c>
      <c r="N296" s="2">
        <v>27.35</v>
      </c>
    </row>
    <row r="297" spans="1:14" x14ac:dyDescent="0.3">
      <c r="A297" s="5">
        <v>70</v>
      </c>
      <c r="B297" s="2">
        <f t="shared" si="70"/>
        <v>4.0000000000000009</v>
      </c>
      <c r="C297" s="2">
        <v>1.1284000000000001</v>
      </c>
      <c r="D297" s="5">
        <v>3628.1</v>
      </c>
      <c r="E297" s="2">
        <v>27.018000000000001</v>
      </c>
      <c r="F297" s="5">
        <f t="shared" si="72"/>
        <v>307.72077874009915</v>
      </c>
      <c r="G297" s="3">
        <f t="shared" si="73"/>
        <v>1665.9409697165245</v>
      </c>
      <c r="I297" s="2"/>
      <c r="J297" s="2">
        <v>40.584000000000003</v>
      </c>
      <c r="K297" s="2">
        <f t="shared" si="71"/>
        <v>4.0000000000000009</v>
      </c>
      <c r="L297" s="2">
        <v>1.1241000000000001</v>
      </c>
      <c r="M297" s="2">
        <v>3462.2</v>
      </c>
      <c r="N297" s="2">
        <v>27.407</v>
      </c>
    </row>
    <row r="298" spans="1:14" x14ac:dyDescent="0.3">
      <c r="A298" s="5">
        <v>80</v>
      </c>
      <c r="B298" s="2">
        <f t="shared" si="70"/>
        <v>4.0000000000000009</v>
      </c>
      <c r="C298" s="2">
        <v>1.129</v>
      </c>
      <c r="D298" s="5">
        <v>3647.8</v>
      </c>
      <c r="E298" s="2">
        <v>27.068999999999999</v>
      </c>
      <c r="F298" s="5">
        <f t="shared" si="72"/>
        <v>307.14101001145224</v>
      </c>
      <c r="G298" s="3">
        <f t="shared" si="73"/>
        <v>1668.5598653919067</v>
      </c>
      <c r="I298" s="2"/>
      <c r="J298" s="2">
        <v>46.372999999999998</v>
      </c>
      <c r="K298" s="2">
        <f t="shared" si="71"/>
        <v>4.0000000000000009</v>
      </c>
      <c r="L298" s="2">
        <v>1.1246</v>
      </c>
      <c r="M298" s="2">
        <v>3479.8</v>
      </c>
      <c r="N298" s="2">
        <v>27.456</v>
      </c>
    </row>
    <row r="299" spans="1:14" x14ac:dyDescent="0.3">
      <c r="A299" s="5">
        <v>90</v>
      </c>
      <c r="B299" s="2">
        <f t="shared" si="70"/>
        <v>4.0000000000000009</v>
      </c>
      <c r="C299" s="2">
        <v>1.1294999999999999</v>
      </c>
      <c r="D299" s="5">
        <v>3665.2</v>
      </c>
      <c r="E299" s="2">
        <v>27.114000000000001</v>
      </c>
      <c r="F299" s="5">
        <f t="shared" si="72"/>
        <v>306.63126060337834</v>
      </c>
      <c r="G299" s="3">
        <f t="shared" si="73"/>
        <v>1670.8763576489957</v>
      </c>
      <c r="I299" s="2"/>
      <c r="J299" s="2">
        <v>52.16</v>
      </c>
      <c r="K299" s="2">
        <f t="shared" si="71"/>
        <v>4.0000000000000009</v>
      </c>
      <c r="L299" s="2">
        <v>1.1251</v>
      </c>
      <c r="M299" s="2">
        <v>3495.4</v>
      </c>
      <c r="N299" s="2">
        <v>27.5</v>
      </c>
    </row>
    <row r="300" spans="1:14" x14ac:dyDescent="0.3">
      <c r="A300" s="5">
        <v>100</v>
      </c>
      <c r="B300" s="2">
        <f t="shared" si="70"/>
        <v>4.0000000000000009</v>
      </c>
      <c r="C300" s="2">
        <v>1.1298999999999999</v>
      </c>
      <c r="D300" s="5">
        <v>3680.8</v>
      </c>
      <c r="E300" s="2">
        <v>27.155000000000001</v>
      </c>
      <c r="F300" s="5">
        <f t="shared" si="72"/>
        <v>306.16829313201987</v>
      </c>
      <c r="G300" s="3">
        <f t="shared" si="73"/>
        <v>1672.9478767321652</v>
      </c>
      <c r="I300" s="2"/>
      <c r="J300" s="2">
        <v>57.945999999999998</v>
      </c>
      <c r="K300" s="2">
        <f t="shared" si="71"/>
        <v>4.0000000000000009</v>
      </c>
      <c r="L300" s="2">
        <v>1.1255999999999999</v>
      </c>
      <c r="M300" s="2">
        <v>3509.3</v>
      </c>
      <c r="N300" s="2">
        <v>27.54</v>
      </c>
    </row>
  </sheetData>
  <mergeCells count="2">
    <mergeCell ref="A99:G99"/>
    <mergeCell ref="J99:P9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3F4B-6ECB-4414-A335-F6C725D1E08D}">
  <sheetPr codeName="Sheet2"/>
  <dimension ref="A2:AE29"/>
  <sheetViews>
    <sheetView showGridLines="0" workbookViewId="0">
      <selection activeCell="B26" sqref="B26"/>
    </sheetView>
  </sheetViews>
  <sheetFormatPr defaultRowHeight="14.4" x14ac:dyDescent="0.3"/>
  <cols>
    <col min="1" max="1" width="21.6640625" customWidth="1"/>
    <col min="6" max="6" width="15.5546875" customWidth="1"/>
    <col min="8" max="8" width="9.6640625" customWidth="1"/>
    <col min="21" max="21" width="10.5546875" bestFit="1" customWidth="1"/>
  </cols>
  <sheetData>
    <row r="2" spans="1:31" ht="18" x14ac:dyDescent="0.35">
      <c r="G2" s="48" t="s">
        <v>46</v>
      </c>
      <c r="T2" s="48" t="s">
        <v>51</v>
      </c>
    </row>
    <row r="3" spans="1:31" x14ac:dyDescent="0.3">
      <c r="A3" s="29" t="s">
        <v>16</v>
      </c>
      <c r="B3" s="30">
        <v>15</v>
      </c>
      <c r="C3" s="30" t="s">
        <v>22</v>
      </c>
      <c r="D3" s="31">
        <f>B3*2.2/9.81*1000</f>
        <v>3363.9143730886849</v>
      </c>
      <c r="E3" s="32" t="s">
        <v>21</v>
      </c>
      <c r="G3" s="65" t="s">
        <v>44</v>
      </c>
      <c r="H3" s="66" t="s">
        <v>45</v>
      </c>
      <c r="I3" s="67"/>
      <c r="T3" s="65" t="s">
        <v>44</v>
      </c>
      <c r="U3" s="66" t="s">
        <v>45</v>
      </c>
      <c r="V3" s="67"/>
    </row>
    <row r="4" spans="1:31" x14ac:dyDescent="0.3">
      <c r="A4" s="33" t="s">
        <v>17</v>
      </c>
      <c r="B4">
        <v>30</v>
      </c>
      <c r="C4" t="s">
        <v>18</v>
      </c>
      <c r="D4">
        <f>B4*14.7</f>
        <v>441</v>
      </c>
      <c r="E4" s="34" t="s">
        <v>19</v>
      </c>
      <c r="G4" s="50"/>
      <c r="H4" s="51">
        <v>4</v>
      </c>
      <c r="I4" s="51">
        <v>8</v>
      </c>
      <c r="J4" s="51">
        <v>12</v>
      </c>
      <c r="K4" s="51">
        <v>16</v>
      </c>
      <c r="L4" s="51">
        <v>20</v>
      </c>
      <c r="M4" s="51">
        <v>24</v>
      </c>
      <c r="N4" s="51">
        <v>28</v>
      </c>
      <c r="O4" s="51">
        <v>32</v>
      </c>
      <c r="Q4" s="54" t="s">
        <v>47</v>
      </c>
      <c r="R4" s="54" t="s">
        <v>48</v>
      </c>
      <c r="T4" s="50"/>
      <c r="U4" s="51">
        <v>4</v>
      </c>
      <c r="V4" s="51">
        <v>8</v>
      </c>
      <c r="W4" s="51">
        <v>12</v>
      </c>
      <c r="X4" s="51">
        <v>16</v>
      </c>
      <c r="Y4" s="51">
        <v>20</v>
      </c>
      <c r="Z4" s="51">
        <v>24</v>
      </c>
      <c r="AA4" s="51">
        <v>28</v>
      </c>
      <c r="AB4" s="51">
        <v>32</v>
      </c>
      <c r="AD4" s="54" t="s">
        <v>53</v>
      </c>
      <c r="AE4" s="54"/>
    </row>
    <row r="5" spans="1:31" x14ac:dyDescent="0.3">
      <c r="A5" s="33" t="s">
        <v>20</v>
      </c>
      <c r="B5">
        <v>1.5</v>
      </c>
      <c r="E5" s="34"/>
      <c r="G5" s="52">
        <v>5000</v>
      </c>
      <c r="H5" s="43">
        <f>$B$16*1000/(H$4/100)^2/($G5*2*3.1416/60)^2</f>
        <v>82.034290482691546</v>
      </c>
      <c r="I5" s="44">
        <f t="shared" ref="I5:O14" si="0">$B$16*1000/(I$4/100)^2/($G5*2*3.1416/60)^2</f>
        <v>20.508572620672886</v>
      </c>
      <c r="J5" s="44">
        <f t="shared" si="0"/>
        <v>9.1149211647435049</v>
      </c>
      <c r="K5" s="44">
        <f t="shared" si="0"/>
        <v>5.1271431551682216</v>
      </c>
      <c r="L5" s="44">
        <f t="shared" si="0"/>
        <v>3.2813716193076612</v>
      </c>
      <c r="M5" s="44">
        <f t="shared" si="0"/>
        <v>2.2787302911858762</v>
      </c>
      <c r="N5" s="44">
        <f t="shared" si="0"/>
        <v>1.674169193524317</v>
      </c>
      <c r="O5" s="45">
        <f t="shared" si="0"/>
        <v>1.2817857887920554</v>
      </c>
      <c r="Q5" s="2">
        <f>B$7*0.1</f>
        <v>0.63455803033187375</v>
      </c>
      <c r="R5" s="2">
        <f>B$7*0.01</f>
        <v>6.3455803033187375E-2</v>
      </c>
      <c r="T5" s="52">
        <v>5000</v>
      </c>
      <c r="U5" s="43">
        <f>(3+$B$19)/8*$B$18*($T5*2*3.1416/60)^2*(U$4/100)^2/1000000</f>
        <v>1.4828491989696002</v>
      </c>
      <c r="V5" s="44">
        <f t="shared" ref="V5:AB14" si="1">(3+$B$19)/8*$B$18*($T5*2*3.1416/60)^2*(V$4/100)^2/1000000</f>
        <v>5.9313967958784009</v>
      </c>
      <c r="W5" s="44">
        <f t="shared" si="1"/>
        <v>13.345642790726401</v>
      </c>
      <c r="X5" s="44">
        <f t="shared" si="1"/>
        <v>23.725587183513603</v>
      </c>
      <c r="Y5" s="44">
        <f t="shared" si="1"/>
        <v>37.071229974240012</v>
      </c>
      <c r="Z5" s="44">
        <f t="shared" si="1"/>
        <v>53.382571162905606</v>
      </c>
      <c r="AA5" s="44">
        <f t="shared" si="1"/>
        <v>72.659610749510421</v>
      </c>
      <c r="AB5" s="45">
        <f t="shared" si="1"/>
        <v>94.902348734054414</v>
      </c>
      <c r="AD5" s="2">
        <v>500</v>
      </c>
      <c r="AE5" s="2"/>
    </row>
    <row r="6" spans="1:31" x14ac:dyDescent="0.3">
      <c r="A6" s="33" t="s">
        <v>24</v>
      </c>
      <c r="B6">
        <f>1751*0.9</f>
        <v>1575.9</v>
      </c>
      <c r="C6" t="s">
        <v>25</v>
      </c>
      <c r="E6" s="34"/>
      <c r="G6" s="52">
        <v>10000</v>
      </c>
      <c r="H6" s="6">
        <f t="shared" ref="H6:H14" si="2">$B$16*1000/(H$4/100)^2/($G6*2*3.1416/60)^2</f>
        <v>20.508572620672886</v>
      </c>
      <c r="I6" s="2">
        <f t="shared" si="0"/>
        <v>5.1271431551682216</v>
      </c>
      <c r="J6" s="2">
        <f t="shared" si="0"/>
        <v>2.2787302911858762</v>
      </c>
      <c r="K6" s="2">
        <f t="shared" si="0"/>
        <v>1.2817857887920554</v>
      </c>
      <c r="L6" s="2">
        <f t="shared" si="0"/>
        <v>0.8203429048269153</v>
      </c>
      <c r="M6" s="2">
        <f t="shared" si="0"/>
        <v>0.56968257279646906</v>
      </c>
      <c r="N6" s="2">
        <f t="shared" si="0"/>
        <v>0.41854229838107926</v>
      </c>
      <c r="O6" s="11">
        <f t="shared" si="0"/>
        <v>0.32044644719801385</v>
      </c>
      <c r="Q6" s="2">
        <f t="shared" ref="Q6:Q14" si="3">B$7*0.1</f>
        <v>0.63455803033187375</v>
      </c>
      <c r="R6" s="2">
        <f t="shared" ref="R6:R14" si="4">B$7*0.01</f>
        <v>6.3455803033187375E-2</v>
      </c>
      <c r="T6" s="52">
        <v>10000</v>
      </c>
      <c r="U6" s="6">
        <f t="shared" ref="U6:U14" si="5">(3+$B$19)/8*$B$18*($T6*2*3.1416/60)^2*(U$4/100)^2/1000000</f>
        <v>5.9313967958784009</v>
      </c>
      <c r="V6" s="2">
        <f t="shared" si="1"/>
        <v>23.725587183513603</v>
      </c>
      <c r="W6" s="2">
        <f t="shared" si="1"/>
        <v>53.382571162905606</v>
      </c>
      <c r="X6" s="2">
        <f t="shared" si="1"/>
        <v>94.902348734054414</v>
      </c>
      <c r="Y6" s="2">
        <f t="shared" si="1"/>
        <v>148.28491989696005</v>
      </c>
      <c r="Z6" s="2">
        <f>(3+$B$19)/8*$B$18*($T6*2*3.1416/60)^2*(Z$4/100)^2/1000000</f>
        <v>213.53028465162242</v>
      </c>
      <c r="AA6" s="2">
        <f t="shared" si="1"/>
        <v>290.63844299804168</v>
      </c>
      <c r="AB6" s="11">
        <f t="shared" si="1"/>
        <v>379.60939493621765</v>
      </c>
      <c r="AD6" s="2">
        <v>500</v>
      </c>
      <c r="AE6" s="2"/>
    </row>
    <row r="7" spans="1:31" x14ac:dyDescent="0.3">
      <c r="A7" s="35" t="s">
        <v>23</v>
      </c>
      <c r="B7" s="36">
        <f>B3*1000/(B6*B5)</f>
        <v>6.3455803033187372</v>
      </c>
      <c r="C7" s="37" t="s">
        <v>12</v>
      </c>
      <c r="D7" s="37"/>
      <c r="E7" s="38"/>
      <c r="G7" s="52">
        <v>15000</v>
      </c>
      <c r="H7" s="6">
        <f t="shared" si="2"/>
        <v>9.1149211647435067</v>
      </c>
      <c r="I7" s="2">
        <f t="shared" si="0"/>
        <v>2.2787302911858767</v>
      </c>
      <c r="J7" s="2">
        <f>$B$16*1000/(J$4/100)^2/($G7*2*3.1416/60)^2</f>
        <v>1.0127690183048341</v>
      </c>
      <c r="K7" s="2">
        <f t="shared" si="0"/>
        <v>0.56968257279646917</v>
      </c>
      <c r="L7" s="49">
        <f t="shared" si="0"/>
        <v>0.36459684658974018</v>
      </c>
      <c r="M7" s="2">
        <f t="shared" si="0"/>
        <v>0.25319225457620853</v>
      </c>
      <c r="N7" s="2">
        <f t="shared" si="0"/>
        <v>0.18601879928047971</v>
      </c>
      <c r="O7" s="11">
        <f t="shared" si="0"/>
        <v>0.14242064319911729</v>
      </c>
      <c r="Q7" s="2">
        <f t="shared" si="3"/>
        <v>0.63455803033187375</v>
      </c>
      <c r="R7" s="2">
        <f t="shared" si="4"/>
        <v>6.3455803033187375E-2</v>
      </c>
      <c r="T7" s="52">
        <v>15000</v>
      </c>
      <c r="U7" s="6">
        <f t="shared" si="5"/>
        <v>13.3456427907264</v>
      </c>
      <c r="V7" s="2">
        <f t="shared" si="1"/>
        <v>53.382571162905599</v>
      </c>
      <c r="W7" s="2">
        <f t="shared" si="1"/>
        <v>120.11078511653757</v>
      </c>
      <c r="X7" s="2">
        <f t="shared" si="1"/>
        <v>213.5302846516224</v>
      </c>
      <c r="Y7" s="49">
        <f t="shared" si="1"/>
        <v>333.64106976815998</v>
      </c>
      <c r="Z7" s="2">
        <f t="shared" si="1"/>
        <v>480.44314046615028</v>
      </c>
      <c r="AA7" s="2">
        <f t="shared" si="1"/>
        <v>653.93649674559356</v>
      </c>
      <c r="AB7" s="11">
        <f t="shared" si="1"/>
        <v>854.12113860648958</v>
      </c>
      <c r="AD7" s="2">
        <v>500</v>
      </c>
      <c r="AE7" s="2"/>
    </row>
    <row r="8" spans="1:31" x14ac:dyDescent="0.3">
      <c r="G8" s="52">
        <v>20000</v>
      </c>
      <c r="H8" s="6">
        <f t="shared" si="2"/>
        <v>5.1271431551682216</v>
      </c>
      <c r="I8" s="2">
        <f t="shared" si="0"/>
        <v>1.2817857887920554</v>
      </c>
      <c r="J8" s="2">
        <f t="shared" si="0"/>
        <v>0.56968257279646906</v>
      </c>
      <c r="K8" s="49">
        <f t="shared" si="0"/>
        <v>0.32044644719801385</v>
      </c>
      <c r="L8" s="2">
        <f t="shared" si="0"/>
        <v>0.20508572620672882</v>
      </c>
      <c r="M8" s="2">
        <f t="shared" si="0"/>
        <v>0.14242064319911726</v>
      </c>
      <c r="N8" s="2">
        <f t="shared" si="0"/>
        <v>0.10463557459526981</v>
      </c>
      <c r="O8" s="11">
        <f t="shared" si="0"/>
        <v>8.0111611799503463E-2</v>
      </c>
      <c r="Q8" s="2">
        <f t="shared" si="3"/>
        <v>0.63455803033187375</v>
      </c>
      <c r="R8" s="2">
        <f t="shared" si="4"/>
        <v>6.3455803033187375E-2</v>
      </c>
      <c r="T8" s="52">
        <v>20000</v>
      </c>
      <c r="U8" s="6">
        <f t="shared" si="5"/>
        <v>23.725587183513603</v>
      </c>
      <c r="V8" s="2">
        <f t="shared" si="1"/>
        <v>94.902348734054414</v>
      </c>
      <c r="W8" s="2">
        <f t="shared" si="1"/>
        <v>213.53028465162242</v>
      </c>
      <c r="X8" s="49">
        <f t="shared" si="1"/>
        <v>379.60939493621765</v>
      </c>
      <c r="Y8" s="2">
        <f t="shared" si="1"/>
        <v>593.13967958784019</v>
      </c>
      <c r="Z8" s="2">
        <f t="shared" si="1"/>
        <v>854.12113860648969</v>
      </c>
      <c r="AA8" s="2">
        <f t="shared" si="1"/>
        <v>1162.5537719921667</v>
      </c>
      <c r="AB8" s="11">
        <f t="shared" si="1"/>
        <v>1518.4375797448706</v>
      </c>
      <c r="AD8" s="2">
        <v>500</v>
      </c>
      <c r="AE8" s="2"/>
    </row>
    <row r="9" spans="1:31" x14ac:dyDescent="0.3">
      <c r="A9" s="29" t="s">
        <v>37</v>
      </c>
      <c r="B9" s="30">
        <v>810</v>
      </c>
      <c r="C9" s="30" t="s">
        <v>39</v>
      </c>
      <c r="D9" s="30"/>
      <c r="E9" s="32"/>
      <c r="F9" t="s">
        <v>67</v>
      </c>
      <c r="G9" s="52">
        <v>25000</v>
      </c>
      <c r="H9" s="6">
        <f t="shared" si="2"/>
        <v>3.2813716193076621</v>
      </c>
      <c r="I9" s="2">
        <f t="shared" si="0"/>
        <v>0.82034290482691552</v>
      </c>
      <c r="J9" s="49">
        <f t="shared" si="0"/>
        <v>0.36459684658974023</v>
      </c>
      <c r="K9" s="2">
        <f t="shared" si="0"/>
        <v>0.20508572620672888</v>
      </c>
      <c r="L9" s="2">
        <f t="shared" si="0"/>
        <v>0.13125486477230647</v>
      </c>
      <c r="M9" s="2">
        <f t="shared" si="0"/>
        <v>9.1149211647435058E-2</v>
      </c>
      <c r="N9" s="2">
        <f t="shared" si="0"/>
        <v>6.6966767740972682E-2</v>
      </c>
      <c r="O9" s="11">
        <f t="shared" si="0"/>
        <v>5.127143155168222E-2</v>
      </c>
      <c r="Q9" s="2">
        <f t="shared" si="3"/>
        <v>0.63455803033187375</v>
      </c>
      <c r="R9" s="2">
        <f t="shared" si="4"/>
        <v>6.3455803033187375E-2</v>
      </c>
      <c r="T9" s="52">
        <v>25000</v>
      </c>
      <c r="U9" s="6">
        <f t="shared" si="5"/>
        <v>37.071229974239998</v>
      </c>
      <c r="V9" s="2">
        <f t="shared" si="1"/>
        <v>148.28491989695999</v>
      </c>
      <c r="W9" s="49">
        <f t="shared" si="1"/>
        <v>333.64106976815998</v>
      </c>
      <c r="X9" s="2">
        <f t="shared" si="1"/>
        <v>593.13967958783996</v>
      </c>
      <c r="Y9" s="2">
        <f t="shared" si="1"/>
        <v>926.78074935600011</v>
      </c>
      <c r="Z9" s="2">
        <f t="shared" si="1"/>
        <v>1334.5642790726399</v>
      </c>
      <c r="AA9" s="2">
        <f t="shared" si="1"/>
        <v>1816.4902687377601</v>
      </c>
      <c r="AB9" s="11">
        <f t="shared" si="1"/>
        <v>2372.5587183513599</v>
      </c>
      <c r="AD9" s="2">
        <v>500</v>
      </c>
      <c r="AE9" s="2"/>
    </row>
    <row r="10" spans="1:31" x14ac:dyDescent="0.3">
      <c r="A10" s="33" t="s">
        <v>38</v>
      </c>
      <c r="B10">
        <v>1141</v>
      </c>
      <c r="C10" t="s">
        <v>39</v>
      </c>
      <c r="E10" s="34"/>
      <c r="G10" s="52">
        <v>30000</v>
      </c>
      <c r="H10" s="6">
        <f t="shared" si="2"/>
        <v>2.2787302911858767</v>
      </c>
      <c r="I10" s="2">
        <f>$B$16*1000/(I$4/100)^2/($G10*2*3.1416/60)^2</f>
        <v>0.56968257279646917</v>
      </c>
      <c r="J10" s="2">
        <f t="shared" si="0"/>
        <v>0.25319225457620853</v>
      </c>
      <c r="K10" s="2">
        <f t="shared" si="0"/>
        <v>0.14242064319911729</v>
      </c>
      <c r="L10" s="2">
        <f t="shared" si="0"/>
        <v>9.1149211647435044E-2</v>
      </c>
      <c r="M10" s="2">
        <f t="shared" si="0"/>
        <v>6.3298063644052133E-2</v>
      </c>
      <c r="N10" s="2">
        <f t="shared" si="0"/>
        <v>4.6504699820119927E-2</v>
      </c>
      <c r="O10" s="11">
        <f t="shared" si="0"/>
        <v>3.5605160799779323E-2</v>
      </c>
      <c r="Q10" s="2">
        <f t="shared" si="3"/>
        <v>0.63455803033187375</v>
      </c>
      <c r="R10" s="2">
        <f t="shared" si="4"/>
        <v>6.3455803033187375E-2</v>
      </c>
      <c r="T10" s="52">
        <v>30000</v>
      </c>
      <c r="U10" s="6">
        <f t="shared" si="5"/>
        <v>53.382571162905599</v>
      </c>
      <c r="V10" s="2">
        <f t="shared" si="1"/>
        <v>213.5302846516224</v>
      </c>
      <c r="W10" s="2">
        <f t="shared" si="1"/>
        <v>480.44314046615028</v>
      </c>
      <c r="X10" s="2">
        <f t="shared" si="1"/>
        <v>854.12113860648958</v>
      </c>
      <c r="Y10" s="2">
        <f t="shared" si="1"/>
        <v>1334.5642790726399</v>
      </c>
      <c r="Z10" s="2">
        <f t="shared" si="1"/>
        <v>1921.7725618646011</v>
      </c>
      <c r="AA10" s="2">
        <f t="shared" si="1"/>
        <v>2615.7459869823742</v>
      </c>
      <c r="AB10" s="11">
        <f t="shared" si="1"/>
        <v>3416.4845544259583</v>
      </c>
      <c r="AD10" s="2">
        <v>500</v>
      </c>
      <c r="AE10" s="2"/>
    </row>
    <row r="11" spans="1:31" x14ac:dyDescent="0.3">
      <c r="A11" s="33" t="s">
        <v>32</v>
      </c>
      <c r="B11">
        <v>1.8</v>
      </c>
      <c r="E11" s="34"/>
      <c r="G11" s="52">
        <v>35000</v>
      </c>
      <c r="H11" s="6">
        <f t="shared" si="2"/>
        <v>1.6741691935243175</v>
      </c>
      <c r="I11" s="2">
        <f t="shared" si="0"/>
        <v>0.41854229838107937</v>
      </c>
      <c r="J11" s="2">
        <f t="shared" si="0"/>
        <v>0.18601879928047971</v>
      </c>
      <c r="K11" s="2">
        <f t="shared" si="0"/>
        <v>0.10463557459526984</v>
      </c>
      <c r="L11" s="2">
        <f t="shared" si="0"/>
        <v>6.6966767740972682E-2</v>
      </c>
      <c r="M11" s="2">
        <f t="shared" si="0"/>
        <v>4.6504699820119927E-2</v>
      </c>
      <c r="N11" s="2">
        <f t="shared" si="0"/>
        <v>3.4166718235190151E-2</v>
      </c>
      <c r="O11" s="11">
        <f t="shared" si="0"/>
        <v>2.6158893648817461E-2</v>
      </c>
      <c r="Q11" s="2">
        <f t="shared" si="3"/>
        <v>0.63455803033187375</v>
      </c>
      <c r="R11" s="2">
        <f t="shared" si="4"/>
        <v>6.3455803033187375E-2</v>
      </c>
      <c r="T11" s="52">
        <v>35000</v>
      </c>
      <c r="U11" s="6">
        <f t="shared" si="5"/>
        <v>72.659610749510392</v>
      </c>
      <c r="V11" s="2">
        <f t="shared" si="1"/>
        <v>290.63844299804157</v>
      </c>
      <c r="W11" s="2">
        <f t="shared" si="1"/>
        <v>653.93649674559344</v>
      </c>
      <c r="X11" s="2">
        <f t="shared" si="1"/>
        <v>1162.5537719921663</v>
      </c>
      <c r="Y11" s="2">
        <f t="shared" si="1"/>
        <v>1816.4902687377601</v>
      </c>
      <c r="Z11" s="2">
        <f t="shared" si="1"/>
        <v>2615.7459869823738</v>
      </c>
      <c r="AA11" s="2">
        <f t="shared" si="1"/>
        <v>3560.3209267260095</v>
      </c>
      <c r="AB11" s="11">
        <f t="shared" si="1"/>
        <v>4650.2150879686651</v>
      </c>
      <c r="AD11" s="2">
        <v>500</v>
      </c>
      <c r="AE11" s="2"/>
    </row>
    <row r="12" spans="1:31" x14ac:dyDescent="0.3">
      <c r="A12" s="35" t="s">
        <v>42</v>
      </c>
      <c r="B12" s="14">
        <f>1/(B11+1)*B9+B11/(1+B11)*B10</f>
        <v>1022.7857142857142</v>
      </c>
      <c r="C12" s="37" t="s">
        <v>39</v>
      </c>
      <c r="D12" s="37"/>
      <c r="E12" s="38"/>
      <c r="G12" s="52">
        <v>40000</v>
      </c>
      <c r="H12" s="6">
        <f t="shared" si="2"/>
        <v>1.2817857887920554</v>
      </c>
      <c r="I12" s="2">
        <f t="shared" si="0"/>
        <v>0.32044644719801385</v>
      </c>
      <c r="J12" s="2">
        <f t="shared" si="0"/>
        <v>0.14242064319911726</v>
      </c>
      <c r="K12" s="2">
        <f t="shared" si="0"/>
        <v>8.0111611799503463E-2</v>
      </c>
      <c r="L12" s="2">
        <f t="shared" si="0"/>
        <v>5.1271431551682206E-2</v>
      </c>
      <c r="M12" s="2">
        <f t="shared" si="0"/>
        <v>3.5605160799779316E-2</v>
      </c>
      <c r="N12" s="2">
        <f t="shared" si="0"/>
        <v>2.6158893648817454E-2</v>
      </c>
      <c r="O12" s="11">
        <f t="shared" si="0"/>
        <v>2.0027902949875866E-2</v>
      </c>
      <c r="Q12" s="2">
        <f t="shared" si="3"/>
        <v>0.63455803033187375</v>
      </c>
      <c r="R12" s="2">
        <f t="shared" si="4"/>
        <v>6.3455803033187375E-2</v>
      </c>
      <c r="T12" s="52">
        <v>40000</v>
      </c>
      <c r="U12" s="6">
        <f t="shared" si="5"/>
        <v>94.902348734054414</v>
      </c>
      <c r="V12" s="2">
        <f t="shared" si="1"/>
        <v>379.60939493621765</v>
      </c>
      <c r="W12" s="2">
        <f t="shared" si="1"/>
        <v>854.12113860648969</v>
      </c>
      <c r="X12" s="2">
        <f t="shared" si="1"/>
        <v>1518.4375797448706</v>
      </c>
      <c r="Y12" s="2">
        <f t="shared" si="1"/>
        <v>2372.5587183513608</v>
      </c>
      <c r="Z12" s="2">
        <f t="shared" si="1"/>
        <v>3416.4845544259588</v>
      </c>
      <c r="AA12" s="2">
        <f t="shared" si="1"/>
        <v>4650.2150879686669</v>
      </c>
      <c r="AB12" s="11">
        <f t="shared" si="1"/>
        <v>6073.7503189794825</v>
      </c>
      <c r="AD12" s="2">
        <v>500</v>
      </c>
      <c r="AE12" s="2"/>
    </row>
    <row r="13" spans="1:31" x14ac:dyDescent="0.3">
      <c r="G13" s="52">
        <v>45000</v>
      </c>
      <c r="H13" s="6">
        <f t="shared" si="2"/>
        <v>1.0127690183048339</v>
      </c>
      <c r="I13" s="2">
        <f t="shared" si="0"/>
        <v>0.25319225457620848</v>
      </c>
      <c r="J13" s="2">
        <f t="shared" si="0"/>
        <v>0.11252989092275933</v>
      </c>
      <c r="K13" s="2">
        <f t="shared" si="0"/>
        <v>6.3298063644052119E-2</v>
      </c>
      <c r="L13" s="2">
        <f t="shared" si="0"/>
        <v>4.0510760732193354E-2</v>
      </c>
      <c r="M13" s="2">
        <f t="shared" si="0"/>
        <v>2.8132472730689834E-2</v>
      </c>
      <c r="N13" s="2">
        <f t="shared" si="0"/>
        <v>2.0668755475608855E-2</v>
      </c>
      <c r="O13" s="11">
        <f t="shared" si="0"/>
        <v>1.582451591101303E-2</v>
      </c>
      <c r="Q13" s="2">
        <f t="shared" si="3"/>
        <v>0.63455803033187375</v>
      </c>
      <c r="R13" s="2">
        <f t="shared" si="4"/>
        <v>6.3455803033187375E-2</v>
      </c>
      <c r="T13" s="52">
        <v>45000</v>
      </c>
      <c r="U13" s="6">
        <f t="shared" si="5"/>
        <v>120.1107851165376</v>
      </c>
      <c r="V13" s="2">
        <f t="shared" si="1"/>
        <v>480.4431404661504</v>
      </c>
      <c r="W13" s="2">
        <f t="shared" si="1"/>
        <v>1080.9970660488384</v>
      </c>
      <c r="X13" s="2">
        <f t="shared" si="1"/>
        <v>1921.7725618646016</v>
      </c>
      <c r="Y13" s="2">
        <f t="shared" si="1"/>
        <v>3002.7696279134407</v>
      </c>
      <c r="Z13" s="2">
        <f t="shared" si="1"/>
        <v>4323.9882641953536</v>
      </c>
      <c r="AA13" s="2">
        <f t="shared" si="1"/>
        <v>5885.4284707103434</v>
      </c>
      <c r="AB13" s="11">
        <f t="shared" si="1"/>
        <v>7687.0902474584063</v>
      </c>
      <c r="AD13" s="2">
        <v>500</v>
      </c>
      <c r="AE13" s="2"/>
    </row>
    <row r="14" spans="1:31" x14ac:dyDescent="0.3">
      <c r="A14" s="29" t="s">
        <v>36</v>
      </c>
      <c r="B14" s="30">
        <v>1</v>
      </c>
      <c r="C14" s="30" t="s">
        <v>18</v>
      </c>
      <c r="D14" s="30"/>
      <c r="E14" s="32"/>
      <c r="G14" s="52">
        <v>50000</v>
      </c>
      <c r="H14" s="46">
        <f t="shared" si="2"/>
        <v>0.82034290482691552</v>
      </c>
      <c r="I14" s="13">
        <f t="shared" si="0"/>
        <v>0.20508572620672888</v>
      </c>
      <c r="J14" s="13">
        <f t="shared" si="0"/>
        <v>9.1149211647435058E-2</v>
      </c>
      <c r="K14" s="13">
        <f t="shared" si="0"/>
        <v>5.127143155168222E-2</v>
      </c>
      <c r="L14" s="13">
        <f t="shared" si="0"/>
        <v>3.2813716193076617E-2</v>
      </c>
      <c r="M14" s="13">
        <f t="shared" si="0"/>
        <v>2.2787302911858764E-2</v>
      </c>
      <c r="N14" s="13">
        <f t="shared" si="0"/>
        <v>1.6741691935243171E-2</v>
      </c>
      <c r="O14" s="15">
        <f t="shared" si="0"/>
        <v>1.2817857887920555E-2</v>
      </c>
      <c r="Q14" s="2">
        <f t="shared" si="3"/>
        <v>0.63455803033187375</v>
      </c>
      <c r="R14" s="2">
        <f t="shared" si="4"/>
        <v>6.3455803033187375E-2</v>
      </c>
      <c r="T14" s="52">
        <v>50000</v>
      </c>
      <c r="U14" s="46">
        <f t="shared" si="5"/>
        <v>148.28491989695999</v>
      </c>
      <c r="V14" s="13">
        <f t="shared" si="1"/>
        <v>593.13967958783996</v>
      </c>
      <c r="W14" s="13">
        <f t="shared" si="1"/>
        <v>1334.5642790726399</v>
      </c>
      <c r="X14" s="13">
        <f t="shared" si="1"/>
        <v>2372.5587183513599</v>
      </c>
      <c r="Y14" s="13">
        <f t="shared" si="1"/>
        <v>3707.1229974240005</v>
      </c>
      <c r="Z14" s="13">
        <f t="shared" si="1"/>
        <v>5338.2571162905597</v>
      </c>
      <c r="AA14" s="13">
        <f t="shared" si="1"/>
        <v>7265.9610749510402</v>
      </c>
      <c r="AB14" s="15">
        <f t="shared" si="1"/>
        <v>9490.2348734054394</v>
      </c>
      <c r="AD14" s="2">
        <v>500</v>
      </c>
      <c r="AE14" s="2"/>
    </row>
    <row r="15" spans="1:31" x14ac:dyDescent="0.3">
      <c r="A15" s="33" t="s">
        <v>35</v>
      </c>
      <c r="B15">
        <v>0.5</v>
      </c>
      <c r="E15" s="34"/>
      <c r="G15" s="30"/>
      <c r="H15" s="53"/>
      <c r="I15" s="53"/>
      <c r="J15" s="53"/>
      <c r="K15" s="53"/>
      <c r="L15" s="53"/>
      <c r="M15" s="53"/>
      <c r="N15" s="53"/>
      <c r="O15" s="53"/>
    </row>
    <row r="16" spans="1:31" x14ac:dyDescent="0.3">
      <c r="A16" s="35" t="s">
        <v>15</v>
      </c>
      <c r="B16" s="19">
        <f>(B4-B14)*100000*B7/B12/B15/1000</f>
        <v>35.984434711186637</v>
      </c>
      <c r="C16" s="37" t="s">
        <v>43</v>
      </c>
      <c r="D16" s="37"/>
      <c r="E16" s="38"/>
      <c r="H16" s="3"/>
      <c r="I16" s="3"/>
      <c r="J16" s="3"/>
      <c r="K16" s="3"/>
      <c r="L16" s="3"/>
      <c r="M16" s="3"/>
      <c r="N16" s="3"/>
      <c r="O16" s="3"/>
    </row>
    <row r="17" spans="1:15" x14ac:dyDescent="0.3">
      <c r="H17" s="3"/>
      <c r="I17" s="3"/>
      <c r="J17" s="3"/>
      <c r="K17" s="3"/>
      <c r="L17" s="3"/>
      <c r="M17" s="3"/>
      <c r="N17" s="3"/>
      <c r="O17" s="3"/>
    </row>
    <row r="18" spans="1:15" x14ac:dyDescent="0.3">
      <c r="A18" s="29" t="s">
        <v>49</v>
      </c>
      <c r="B18" s="30">
        <v>8220</v>
      </c>
      <c r="C18" s="30" t="s">
        <v>39</v>
      </c>
      <c r="D18" s="30"/>
      <c r="E18" s="32"/>
      <c r="F18" t="s">
        <v>52</v>
      </c>
      <c r="H18" s="3"/>
      <c r="I18" s="3"/>
      <c r="J18" s="3"/>
      <c r="K18" s="3"/>
      <c r="L18" s="3"/>
      <c r="M18" s="3"/>
      <c r="N18" s="3"/>
      <c r="O18" s="3"/>
    </row>
    <row r="19" spans="1:15" x14ac:dyDescent="0.3">
      <c r="A19" s="35" t="s">
        <v>50</v>
      </c>
      <c r="B19" s="37">
        <v>0.28999999999999998</v>
      </c>
      <c r="C19" s="37"/>
      <c r="D19" s="37"/>
      <c r="E19" s="38"/>
      <c r="H19" s="3"/>
      <c r="I19" s="3"/>
      <c r="J19" s="3"/>
      <c r="K19" s="3"/>
      <c r="L19" s="3"/>
      <c r="M19" s="3"/>
      <c r="N19" s="3"/>
      <c r="O19" s="3"/>
    </row>
    <row r="20" spans="1:15" x14ac:dyDescent="0.3">
      <c r="H20" s="3"/>
      <c r="I20" s="3"/>
      <c r="J20" s="3"/>
      <c r="K20" s="3"/>
      <c r="L20" s="3"/>
      <c r="M20" s="3"/>
      <c r="N20" s="3"/>
      <c r="O20" s="3"/>
    </row>
    <row r="21" spans="1:15" x14ac:dyDescent="0.3">
      <c r="A21" s="29" t="s">
        <v>54</v>
      </c>
      <c r="B21" s="30">
        <v>10</v>
      </c>
      <c r="C21" s="30" t="s">
        <v>55</v>
      </c>
      <c r="D21" s="30"/>
      <c r="E21" s="32"/>
      <c r="H21" s="3"/>
      <c r="I21" s="3"/>
      <c r="J21" s="3"/>
      <c r="K21" s="3"/>
      <c r="L21" s="3"/>
      <c r="M21" s="3"/>
      <c r="N21" s="3"/>
      <c r="O21" s="3"/>
    </row>
    <row r="22" spans="1:15" x14ac:dyDescent="0.3">
      <c r="A22" s="33" t="s">
        <v>56</v>
      </c>
      <c r="B22" s="42">
        <f>1/(B11+1)*B7/B9*B21</f>
        <v>2.7978749132798669E-2</v>
      </c>
      <c r="C22" t="s">
        <v>57</v>
      </c>
      <c r="D22" s="2">
        <f>B22*264.172</f>
        <v>7.3912021159096906</v>
      </c>
      <c r="E22" s="34" t="s">
        <v>58</v>
      </c>
      <c r="H22" s="3"/>
      <c r="I22" s="3"/>
      <c r="J22" s="3"/>
      <c r="K22" s="3"/>
      <c r="L22" s="3"/>
      <c r="M22" s="3"/>
      <c r="N22" s="3"/>
      <c r="O22" s="3"/>
    </row>
    <row r="23" spans="1:15" x14ac:dyDescent="0.3">
      <c r="A23" s="35" t="s">
        <v>59</v>
      </c>
      <c r="B23" s="36">
        <f>B11/(B11+1)*B7/B10*B21</f>
        <v>3.5751986183716437E-2</v>
      </c>
      <c r="C23" s="37" t="s">
        <v>57</v>
      </c>
      <c r="D23" s="13">
        <f>B23*264.172</f>
        <v>9.4446736941247398</v>
      </c>
      <c r="E23" s="38" t="s">
        <v>58</v>
      </c>
      <c r="H23" s="3"/>
      <c r="I23" s="3"/>
      <c r="J23" s="3"/>
      <c r="K23" s="3"/>
      <c r="L23" s="3"/>
      <c r="M23" s="3"/>
      <c r="N23" s="3"/>
      <c r="O23" s="3"/>
    </row>
    <row r="24" spans="1:15" x14ac:dyDescent="0.3">
      <c r="A24" t="s">
        <v>60</v>
      </c>
      <c r="B24" s="5">
        <f>D22*5</f>
        <v>36.956010579548455</v>
      </c>
      <c r="C24" t="s">
        <v>61</v>
      </c>
      <c r="F24" s="55"/>
      <c r="H24" s="3"/>
      <c r="I24" s="3"/>
      <c r="J24" s="3"/>
      <c r="K24" s="3"/>
      <c r="L24" s="3"/>
      <c r="M24" s="3"/>
      <c r="N24" s="3"/>
      <c r="O24" s="3"/>
    </row>
    <row r="25" spans="1:15" x14ac:dyDescent="0.3">
      <c r="H25" s="3"/>
      <c r="I25" s="3"/>
      <c r="J25" s="3"/>
      <c r="K25" s="3"/>
      <c r="L25" s="3"/>
      <c r="M25" s="3"/>
      <c r="N25" s="3"/>
      <c r="O25" s="3"/>
    </row>
    <row r="26" spans="1:15" x14ac:dyDescent="0.3">
      <c r="H26" s="3"/>
      <c r="I26" s="3"/>
      <c r="J26" s="3"/>
      <c r="K26" s="3"/>
      <c r="L26" s="3"/>
      <c r="M26" s="3"/>
      <c r="N26" s="3"/>
      <c r="O26" s="3"/>
    </row>
    <row r="27" spans="1:15" x14ac:dyDescent="0.3">
      <c r="H27" s="3"/>
      <c r="I27" s="3"/>
      <c r="J27" s="3"/>
      <c r="K27" s="3"/>
      <c r="L27" s="3"/>
      <c r="M27" s="3"/>
      <c r="N27" s="3"/>
      <c r="O27" s="3"/>
    </row>
    <row r="28" spans="1:15" x14ac:dyDescent="0.3">
      <c r="H28" s="3"/>
      <c r="I28" s="3"/>
      <c r="J28" s="3"/>
      <c r="K28" s="3"/>
      <c r="L28" s="3"/>
      <c r="M28" s="3"/>
      <c r="N28" s="3"/>
      <c r="O28" s="3"/>
    </row>
    <row r="29" spans="1:15" x14ac:dyDescent="0.3">
      <c r="H29" s="3"/>
      <c r="I29" s="3"/>
      <c r="J29" s="3"/>
      <c r="K29" s="3"/>
      <c r="L29" s="3"/>
      <c r="M29" s="3"/>
      <c r="N29" s="3"/>
      <c r="O29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3DA6-AC23-46F6-8BB8-558D722C567B}">
  <sheetPr codeName="Sheet3"/>
  <dimension ref="A1:L179"/>
  <sheetViews>
    <sheetView showGridLines="0" zoomScale="90" zoomScaleNormal="100" workbookViewId="0">
      <selection activeCell="F43" sqref="F43"/>
    </sheetView>
  </sheetViews>
  <sheetFormatPr defaultColWidth="8.6640625" defaultRowHeight="14.4" x14ac:dyDescent="0.3"/>
  <cols>
    <col min="1" max="1" width="8.6640625" style="5"/>
    <col min="2" max="2" width="8.6640625" style="3"/>
    <col min="3" max="3" width="8.6640625" style="2"/>
    <col min="4" max="4" width="8.6640625" style="5"/>
    <col min="5" max="8" width="8.6640625" style="2"/>
    <col min="9" max="9" width="8.6640625" style="6"/>
    <col min="10" max="16384" width="8.6640625" style="2"/>
  </cols>
  <sheetData>
    <row r="1" spans="1:12" ht="23.4" x14ac:dyDescent="0.45">
      <c r="A1" s="39" t="s">
        <v>41</v>
      </c>
      <c r="I1" s="2"/>
    </row>
    <row r="2" spans="1:12" x14ac:dyDescent="0.3">
      <c r="A2" s="16" t="s">
        <v>26</v>
      </c>
      <c r="B2" s="20" t="s">
        <v>34</v>
      </c>
      <c r="I2" s="2"/>
    </row>
    <row r="3" spans="1:12" s="3" customFormat="1" x14ac:dyDescent="0.3">
      <c r="A3" s="7"/>
      <c r="B3" s="7">
        <v>1</v>
      </c>
      <c r="C3" s="8">
        <v>1.1000000000000001</v>
      </c>
      <c r="D3" s="8">
        <v>1.2</v>
      </c>
      <c r="E3" s="8">
        <v>1.3</v>
      </c>
      <c r="F3" s="8">
        <v>1.4</v>
      </c>
      <c r="G3" s="8">
        <v>1.5</v>
      </c>
      <c r="H3" s="8">
        <v>1.6</v>
      </c>
      <c r="I3" s="8">
        <v>1.7</v>
      </c>
      <c r="J3" s="8">
        <v>1.8</v>
      </c>
      <c r="K3" s="8">
        <v>1.9</v>
      </c>
      <c r="L3" s="9">
        <v>2</v>
      </c>
    </row>
    <row r="4" spans="1:12" x14ac:dyDescent="0.3">
      <c r="A4" s="17">
        <v>10</v>
      </c>
      <c r="B4" s="10">
        <f t="shared" ref="B4:B13" si="0">G70</f>
        <v>1632.2981269845889</v>
      </c>
      <c r="C4" s="3">
        <f>G80</f>
        <v>1658.200840222539</v>
      </c>
      <c r="D4" s="3">
        <f>G90</f>
        <v>1666.6209850754267</v>
      </c>
      <c r="E4" s="3">
        <f>G100</f>
        <v>1663.1537445296265</v>
      </c>
      <c r="F4" s="3">
        <f>G110</f>
        <v>1653.7732204702495</v>
      </c>
      <c r="G4" s="3">
        <f>G120</f>
        <v>1641.6619356110336</v>
      </c>
      <c r="H4" s="3">
        <f>G130</f>
        <v>1628.4697895563033</v>
      </c>
      <c r="I4" s="3">
        <f>G140</f>
        <v>1614.8628791857748</v>
      </c>
      <c r="J4" s="3">
        <f>G150</f>
        <v>1601.2397747589719</v>
      </c>
      <c r="K4" s="3">
        <f>G160</f>
        <v>1587.8690584155208</v>
      </c>
      <c r="L4" s="23">
        <f>G170</f>
        <v>1574.6616623405591</v>
      </c>
    </row>
    <row r="5" spans="1:12" x14ac:dyDescent="0.3">
      <c r="A5" s="17">
        <v>20</v>
      </c>
      <c r="B5" s="10">
        <f t="shared" si="0"/>
        <v>1633.5533601223619</v>
      </c>
      <c r="C5" s="3">
        <f t="shared" ref="C5:C13" si="1">G81</f>
        <v>1662.8216856605407</v>
      </c>
      <c r="D5" s="3">
        <f t="shared" ref="D5:D13" si="2">G91</f>
        <v>1674.7834484939272</v>
      </c>
      <c r="E5" s="3">
        <f t="shared" ref="E5:E13" si="3">G101</f>
        <v>1673.5396822532132</v>
      </c>
      <c r="F5" s="3">
        <f t="shared" ref="F5:F13" si="4">G111</f>
        <v>1665.074511733656</v>
      </c>
      <c r="G5" s="3">
        <f t="shared" ref="G5:G13" si="5">G121</f>
        <v>1653.2677964458985</v>
      </c>
      <c r="H5" s="3">
        <f t="shared" ref="H5:H13" si="6">G131</f>
        <v>1639.9940132031663</v>
      </c>
      <c r="I5" s="3">
        <f t="shared" ref="I5:I13" si="7">G141</f>
        <v>1626.2049899528974</v>
      </c>
      <c r="J5" s="3">
        <f t="shared" ref="J5:J13" si="8">G151</f>
        <v>1612.2924346968598</v>
      </c>
      <c r="K5" s="3">
        <f t="shared" ref="K5:K13" si="9">G161</f>
        <v>1598.6039901996246</v>
      </c>
      <c r="L5" s="23">
        <f t="shared" ref="L5:L13" si="10">G171</f>
        <v>1585.0907736843865</v>
      </c>
    </row>
    <row r="6" spans="1:12" x14ac:dyDescent="0.3">
      <c r="A6" s="17">
        <v>30</v>
      </c>
      <c r="B6" s="10">
        <f t="shared" si="0"/>
        <v>1634.034250519876</v>
      </c>
      <c r="C6" s="3">
        <f t="shared" si="1"/>
        <v>1664.9568015006782</v>
      </c>
      <c r="D6" s="3">
        <f t="shared" si="2"/>
        <v>1679.0701058455747</v>
      </c>
      <c r="E6" s="3">
        <f t="shared" si="3"/>
        <v>1679.3349161102733</v>
      </c>
      <c r="F6" s="3">
        <f t="shared" si="4"/>
        <v>1671.4611778940991</v>
      </c>
      <c r="G6" s="3">
        <f t="shared" si="5"/>
        <v>1659.9068070528708</v>
      </c>
      <c r="H6" s="3">
        <f t="shared" si="6"/>
        <v>1646.5935576980326</v>
      </c>
      <c r="I6" s="3">
        <f t="shared" si="7"/>
        <v>1632.7197084265586</v>
      </c>
      <c r="J6" s="3">
        <f t="shared" si="8"/>
        <v>1618.6366614792541</v>
      </c>
      <c r="K6" s="3">
        <f t="shared" si="9"/>
        <v>1604.6811029598575</v>
      </c>
      <c r="L6" s="23">
        <f t="shared" si="10"/>
        <v>1590.9427684623672</v>
      </c>
    </row>
    <row r="7" spans="1:12" x14ac:dyDescent="0.3">
      <c r="A7" s="17">
        <v>40</v>
      </c>
      <c r="B7" s="10">
        <f t="shared" si="0"/>
        <v>1634.319870217236</v>
      </c>
      <c r="C7" s="3">
        <f t="shared" si="1"/>
        <v>1666.2000040564392</v>
      </c>
      <c r="D7" s="3">
        <f t="shared" si="2"/>
        <v>1681.8390320851868</v>
      </c>
      <c r="E7" s="3">
        <f t="shared" si="3"/>
        <v>1683.2143414345785</v>
      </c>
      <c r="F7" s="3">
        <f t="shared" si="4"/>
        <v>1675.9362095463036</v>
      </c>
      <c r="G7" s="3">
        <f t="shared" si="5"/>
        <v>1664.4601759240695</v>
      </c>
      <c r="H7" s="3">
        <f t="shared" si="6"/>
        <v>1651.2211907026615</v>
      </c>
      <c r="I7" s="3">
        <f t="shared" si="7"/>
        <v>1637.2261808057387</v>
      </c>
      <c r="J7" s="3">
        <f t="shared" si="8"/>
        <v>1622.9919929446448</v>
      </c>
      <c r="K7" s="3">
        <f t="shared" si="9"/>
        <v>1608.8985166870673</v>
      </c>
      <c r="L7" s="23">
        <f t="shared" si="10"/>
        <v>1594.9413384049278</v>
      </c>
    </row>
    <row r="8" spans="1:12" x14ac:dyDescent="0.3">
      <c r="A8" s="17">
        <v>50</v>
      </c>
      <c r="B8" s="10">
        <f t="shared" si="0"/>
        <v>1634.4854527232201</v>
      </c>
      <c r="C8" s="3">
        <f t="shared" si="1"/>
        <v>1667.0571884755618</v>
      </c>
      <c r="D8" s="3">
        <f t="shared" si="2"/>
        <v>1683.8933281554239</v>
      </c>
      <c r="E8" s="3">
        <f t="shared" si="3"/>
        <v>1686.1693906769037</v>
      </c>
      <c r="F8" s="3">
        <f t="shared" si="4"/>
        <v>1679.3518937383394</v>
      </c>
      <c r="G8" s="3">
        <f t="shared" si="5"/>
        <v>1668.0447604919862</v>
      </c>
      <c r="H8" s="3">
        <f t="shared" si="6"/>
        <v>1654.7652920783059</v>
      </c>
      <c r="I8" s="3">
        <f t="shared" si="7"/>
        <v>1640.6524268999669</v>
      </c>
      <c r="J8" s="3">
        <f t="shared" si="8"/>
        <v>1626.3697156853477</v>
      </c>
      <c r="K8" s="3">
        <f t="shared" si="9"/>
        <v>1612.1254157007315</v>
      </c>
      <c r="L8" s="23">
        <f t="shared" si="10"/>
        <v>1598.0528459774371</v>
      </c>
    </row>
    <row r="9" spans="1:12" x14ac:dyDescent="0.3">
      <c r="A9" s="17">
        <v>60</v>
      </c>
      <c r="B9" s="10">
        <f t="shared" si="0"/>
        <v>1634.5662839403028</v>
      </c>
      <c r="C9" s="3">
        <f t="shared" si="1"/>
        <v>1667.7339172506399</v>
      </c>
      <c r="D9" s="3">
        <f t="shared" si="2"/>
        <v>1685.4289589487944</v>
      </c>
      <c r="E9" s="3">
        <f t="shared" si="3"/>
        <v>1688.5651508055253</v>
      </c>
      <c r="F9" s="3">
        <f t="shared" si="4"/>
        <v>1682.1055552060675</v>
      </c>
      <c r="G9" s="3">
        <f t="shared" si="5"/>
        <v>1670.9177108050835</v>
      </c>
      <c r="H9" s="3">
        <f t="shared" si="6"/>
        <v>1657.6321171336524</v>
      </c>
      <c r="I9" s="3">
        <f t="shared" si="7"/>
        <v>1643.4865225226099</v>
      </c>
      <c r="J9" s="3">
        <f t="shared" si="8"/>
        <v>1629.0648068850244</v>
      </c>
      <c r="K9" s="3">
        <f t="shared" si="9"/>
        <v>1614.6675603408394</v>
      </c>
      <c r="L9" s="23">
        <f t="shared" si="10"/>
        <v>1600.5273672640128</v>
      </c>
    </row>
    <row r="10" spans="1:12" x14ac:dyDescent="0.3">
      <c r="A10" s="17">
        <v>70</v>
      </c>
      <c r="B10" s="10">
        <f t="shared" si="0"/>
        <v>1634.6309756941973</v>
      </c>
      <c r="C10" s="3">
        <f t="shared" si="1"/>
        <v>1668.1812168588697</v>
      </c>
      <c r="D10" s="3">
        <f t="shared" si="2"/>
        <v>1686.7491591765379</v>
      </c>
      <c r="E10" s="3">
        <f t="shared" si="3"/>
        <v>1690.465468367046</v>
      </c>
      <c r="F10" s="3">
        <f t="shared" si="4"/>
        <v>1684.3399258441439</v>
      </c>
      <c r="G10" s="3">
        <f t="shared" si="5"/>
        <v>1673.3069252051132</v>
      </c>
      <c r="H10" s="3">
        <f t="shared" si="6"/>
        <v>1659.9892875170435</v>
      </c>
      <c r="I10" s="3">
        <f t="shared" si="7"/>
        <v>1645.8023991025782</v>
      </c>
      <c r="J10" s="3">
        <f t="shared" si="8"/>
        <v>1631.3259064606325</v>
      </c>
      <c r="K10" s="3">
        <f t="shared" si="9"/>
        <v>1616.8758263254124</v>
      </c>
      <c r="L10" s="23">
        <f t="shared" si="10"/>
        <v>1602.6031611008616</v>
      </c>
    </row>
    <row r="11" spans="1:12" x14ac:dyDescent="0.3">
      <c r="A11" s="17">
        <v>80</v>
      </c>
      <c r="B11" s="10">
        <f t="shared" si="0"/>
        <v>1634.6589726304585</v>
      </c>
      <c r="C11" s="3">
        <f t="shared" si="1"/>
        <v>1668.5814191319698</v>
      </c>
      <c r="D11" s="3">
        <f t="shared" si="2"/>
        <v>1687.7191989522673</v>
      </c>
      <c r="E11" s="3">
        <f t="shared" si="3"/>
        <v>1692.1023182324402</v>
      </c>
      <c r="F11" s="3">
        <f t="shared" si="4"/>
        <v>1686.3422260287405</v>
      </c>
      <c r="G11" s="3">
        <f t="shared" si="5"/>
        <v>1675.4035522883503</v>
      </c>
      <c r="H11" s="3">
        <f t="shared" si="6"/>
        <v>1662.0788305738477</v>
      </c>
      <c r="I11" s="3">
        <f t="shared" si="7"/>
        <v>1647.8494690759346</v>
      </c>
      <c r="J11" s="3">
        <f t="shared" si="8"/>
        <v>1633.2637036529072</v>
      </c>
      <c r="K11" s="3">
        <f t="shared" si="9"/>
        <v>1618.7030714256528</v>
      </c>
      <c r="L11" s="23">
        <f t="shared" si="10"/>
        <v>1604.3318127140019</v>
      </c>
    </row>
    <row r="12" spans="1:12" x14ac:dyDescent="0.3">
      <c r="A12" s="17">
        <v>90</v>
      </c>
      <c r="B12" s="10">
        <f t="shared" si="0"/>
        <v>1634.7379968363202</v>
      </c>
      <c r="C12" s="3">
        <f t="shared" si="1"/>
        <v>1668.9282526573961</v>
      </c>
      <c r="D12" s="3">
        <f t="shared" si="2"/>
        <v>1688.6366206045511</v>
      </c>
      <c r="E12" s="3">
        <f t="shared" si="3"/>
        <v>1693.5497769978256</v>
      </c>
      <c r="F12" s="3">
        <f t="shared" si="4"/>
        <v>1688.0495630843743</v>
      </c>
      <c r="G12" s="3">
        <f t="shared" si="5"/>
        <v>1677.196363773915</v>
      </c>
      <c r="H12" s="3">
        <f t="shared" si="6"/>
        <v>1663.8647228937127</v>
      </c>
      <c r="I12" s="3">
        <f t="shared" si="7"/>
        <v>1649.5927291106607</v>
      </c>
      <c r="J12" s="3">
        <f t="shared" si="8"/>
        <v>1634.9430571286543</v>
      </c>
      <c r="K12" s="3">
        <f t="shared" si="9"/>
        <v>1620.3591200317501</v>
      </c>
      <c r="L12" s="23">
        <f t="shared" si="10"/>
        <v>1605.9021674873629</v>
      </c>
    </row>
    <row r="13" spans="1:12" x14ac:dyDescent="0.3">
      <c r="A13" s="18">
        <v>100</v>
      </c>
      <c r="B13" s="12">
        <f t="shared" si="0"/>
        <v>1634.7684186988054</v>
      </c>
      <c r="C13" s="19">
        <f t="shared" si="1"/>
        <v>1669.1564873602149</v>
      </c>
      <c r="D13" s="19">
        <f t="shared" si="2"/>
        <v>1689.4221578510862</v>
      </c>
      <c r="E13" s="19">
        <f t="shared" si="3"/>
        <v>1694.7956911658559</v>
      </c>
      <c r="F13" s="19">
        <f t="shared" si="4"/>
        <v>1689.5323674351707</v>
      </c>
      <c r="G13" s="19">
        <f t="shared" si="5"/>
        <v>1678.7555211418207</v>
      </c>
      <c r="H13" s="19">
        <f t="shared" si="6"/>
        <v>1665.4796638420021</v>
      </c>
      <c r="I13" s="19">
        <f t="shared" si="7"/>
        <v>1651.1024375220277</v>
      </c>
      <c r="J13" s="19">
        <f t="shared" si="8"/>
        <v>1636.4737177468537</v>
      </c>
      <c r="K13" s="19">
        <f t="shared" si="9"/>
        <v>1621.7494015123191</v>
      </c>
      <c r="L13" s="24">
        <f t="shared" si="10"/>
        <v>1607.268447446696</v>
      </c>
    </row>
    <row r="14" spans="1:12" x14ac:dyDescent="0.3">
      <c r="I14" s="2"/>
    </row>
    <row r="15" spans="1:12" x14ac:dyDescent="0.3">
      <c r="I15" s="2"/>
    </row>
    <row r="16" spans="1:12" x14ac:dyDescent="0.3">
      <c r="I16" s="2"/>
    </row>
    <row r="17" spans="1:9" x14ac:dyDescent="0.3">
      <c r="I17" s="2"/>
    </row>
    <row r="18" spans="1:9" x14ac:dyDescent="0.3">
      <c r="I18" s="2"/>
    </row>
    <row r="19" spans="1:9" x14ac:dyDescent="0.3">
      <c r="I19" s="2"/>
    </row>
    <row r="20" spans="1:9" x14ac:dyDescent="0.3">
      <c r="I20" s="2"/>
    </row>
    <row r="21" spans="1:9" x14ac:dyDescent="0.3">
      <c r="I21" s="2"/>
    </row>
    <row r="22" spans="1:9" x14ac:dyDescent="0.3">
      <c r="I22" s="2"/>
    </row>
    <row r="23" spans="1:9" x14ac:dyDescent="0.3">
      <c r="I23" s="2"/>
    </row>
    <row r="24" spans="1:9" x14ac:dyDescent="0.3">
      <c r="I24" s="2"/>
    </row>
    <row r="25" spans="1:9" x14ac:dyDescent="0.3">
      <c r="I25" s="2"/>
    </row>
    <row r="26" spans="1:9" x14ac:dyDescent="0.3">
      <c r="I26" s="2"/>
    </row>
    <row r="27" spans="1:9" x14ac:dyDescent="0.3">
      <c r="I27" s="2"/>
    </row>
    <row r="28" spans="1:9" x14ac:dyDescent="0.3">
      <c r="I28" s="2"/>
    </row>
    <row r="29" spans="1:9" x14ac:dyDescent="0.3">
      <c r="I29" s="2"/>
    </row>
    <row r="30" spans="1:9" x14ac:dyDescent="0.3">
      <c r="I30" s="2"/>
    </row>
    <row r="31" spans="1:9" x14ac:dyDescent="0.3">
      <c r="I31" s="2"/>
    </row>
    <row r="32" spans="1:9" ht="23.4" x14ac:dyDescent="0.45">
      <c r="A32" s="39" t="s">
        <v>28</v>
      </c>
      <c r="I32" s="2"/>
    </row>
    <row r="33" spans="1:12" x14ac:dyDescent="0.3">
      <c r="A33" s="16" t="s">
        <v>26</v>
      </c>
      <c r="B33" s="20" t="s">
        <v>34</v>
      </c>
      <c r="I33" s="2"/>
    </row>
    <row r="34" spans="1:12" x14ac:dyDescent="0.3">
      <c r="A34" s="7"/>
      <c r="B34" s="7">
        <v>1</v>
      </c>
      <c r="C34" s="8">
        <v>1.1000000000000001</v>
      </c>
      <c r="D34" s="8">
        <v>1.2</v>
      </c>
      <c r="E34" s="8">
        <v>1.3</v>
      </c>
      <c r="F34" s="8">
        <v>1.4</v>
      </c>
      <c r="G34" s="8">
        <v>1.5</v>
      </c>
      <c r="H34" s="8">
        <v>1.6</v>
      </c>
      <c r="I34" s="8">
        <v>1.7</v>
      </c>
      <c r="J34" s="8">
        <v>1.8</v>
      </c>
      <c r="K34" s="8">
        <v>1.9</v>
      </c>
      <c r="L34" s="9">
        <v>2</v>
      </c>
    </row>
    <row r="35" spans="1:12" x14ac:dyDescent="0.3">
      <c r="A35" s="17">
        <v>10</v>
      </c>
      <c r="B35" s="40">
        <f>D70</f>
        <v>2744.4</v>
      </c>
      <c r="C35" s="31">
        <f>D80</f>
        <v>2900.2</v>
      </c>
      <c r="D35" s="31">
        <f>D90</f>
        <v>2993.8</v>
      </c>
      <c r="E35" s="31">
        <f>D100</f>
        <v>3043.9</v>
      </c>
      <c r="F35" s="31">
        <f>D110</f>
        <v>3068.2</v>
      </c>
      <c r="G35" s="31">
        <f>D120</f>
        <v>3077.5</v>
      </c>
      <c r="H35" s="31">
        <f>D130</f>
        <v>3077.7</v>
      </c>
      <c r="I35" s="31">
        <f>D140</f>
        <v>3072.1</v>
      </c>
      <c r="J35" s="31">
        <f>D150</f>
        <v>3062.5</v>
      </c>
      <c r="K35" s="31">
        <f>D160</f>
        <v>3050.2</v>
      </c>
      <c r="L35" s="41">
        <f>D170</f>
        <v>3035.9</v>
      </c>
    </row>
    <row r="36" spans="1:12" x14ac:dyDescent="0.3">
      <c r="A36" s="17">
        <v>20</v>
      </c>
      <c r="B36" s="17">
        <f t="shared" ref="B36:B44" si="11">D71</f>
        <v>2766.1</v>
      </c>
      <c r="C36" s="5">
        <f t="shared" ref="C36:C44" si="12">D81</f>
        <v>2940.2</v>
      </c>
      <c r="D36" s="5">
        <f t="shared" ref="D36:D44" si="13">D91</f>
        <v>3049.9</v>
      </c>
      <c r="E36" s="5">
        <f t="shared" ref="E36:E44" si="14">D101</f>
        <v>3109.6</v>
      </c>
      <c r="F36" s="5">
        <f t="shared" ref="F36:F44" si="15">D111</f>
        <v>3138.6</v>
      </c>
      <c r="G36" s="5">
        <f t="shared" ref="G36:G44" si="16">D121</f>
        <v>3149.7</v>
      </c>
      <c r="H36" s="5">
        <f t="shared" ref="H36:H44" si="17">D131</f>
        <v>3150.1</v>
      </c>
      <c r="I36" s="5">
        <f t="shared" ref="I36:I44" si="18">D141</f>
        <v>3143.7</v>
      </c>
      <c r="J36" s="5">
        <f t="shared" ref="J36:J44" si="19">D151</f>
        <v>3132.9</v>
      </c>
      <c r="K36" s="5">
        <f t="shared" ref="K36:K44" si="20">D161</f>
        <v>3119</v>
      </c>
      <c r="L36" s="21">
        <f t="shared" ref="L36:L44" si="21">D171</f>
        <v>3102.8</v>
      </c>
    </row>
    <row r="37" spans="1:12" x14ac:dyDescent="0.3">
      <c r="A37" s="17">
        <v>30</v>
      </c>
      <c r="B37" s="17">
        <f t="shared" si="11"/>
        <v>2776.8</v>
      </c>
      <c r="C37" s="5">
        <f t="shared" si="12"/>
        <v>2961.2</v>
      </c>
      <c r="D37" s="5">
        <f t="shared" si="13"/>
        <v>3081.1</v>
      </c>
      <c r="E37" s="5">
        <f t="shared" si="14"/>
        <v>3147.5</v>
      </c>
      <c r="F37" s="5">
        <f t="shared" si="15"/>
        <v>3179.7</v>
      </c>
      <c r="G37" s="5">
        <f t="shared" si="16"/>
        <v>3192.1</v>
      </c>
      <c r="H37" s="5">
        <f t="shared" si="17"/>
        <v>3192.6</v>
      </c>
      <c r="I37" s="5">
        <f t="shared" si="18"/>
        <v>3185.8</v>
      </c>
      <c r="J37" s="5">
        <f t="shared" si="19"/>
        <v>3174.1</v>
      </c>
      <c r="K37" s="5">
        <f t="shared" si="20"/>
        <v>3159.1</v>
      </c>
      <c r="L37" s="21">
        <f t="shared" si="21"/>
        <v>3141.7</v>
      </c>
    </row>
    <row r="38" spans="1:12" x14ac:dyDescent="0.3">
      <c r="A38" s="17">
        <v>40</v>
      </c>
      <c r="B38" s="17">
        <f t="shared" si="11"/>
        <v>2783.6</v>
      </c>
      <c r="C38" s="5">
        <f t="shared" si="12"/>
        <v>2975</v>
      </c>
      <c r="D38" s="5">
        <f t="shared" si="13"/>
        <v>3102.3</v>
      </c>
      <c r="E38" s="5">
        <f t="shared" si="14"/>
        <v>3173.9</v>
      </c>
      <c r="F38" s="5">
        <f t="shared" si="15"/>
        <v>3208.8</v>
      </c>
      <c r="G38" s="5">
        <f t="shared" si="16"/>
        <v>3222.1</v>
      </c>
      <c r="H38" s="5">
        <f t="shared" si="17"/>
        <v>3222.8</v>
      </c>
      <c r="I38" s="5">
        <f t="shared" si="18"/>
        <v>3215.6</v>
      </c>
      <c r="J38" s="5">
        <f t="shared" si="19"/>
        <v>3203.3</v>
      </c>
      <c r="K38" s="5">
        <f t="shared" si="20"/>
        <v>3187.4</v>
      </c>
      <c r="L38" s="21">
        <f t="shared" si="21"/>
        <v>3169.1</v>
      </c>
    </row>
    <row r="39" spans="1:12" x14ac:dyDescent="0.3">
      <c r="A39" s="17">
        <v>50</v>
      </c>
      <c r="B39" s="17">
        <f t="shared" si="11"/>
        <v>2788.4</v>
      </c>
      <c r="C39" s="5">
        <f t="shared" si="12"/>
        <v>2985</v>
      </c>
      <c r="D39" s="5">
        <f t="shared" si="13"/>
        <v>3118.3</v>
      </c>
      <c r="E39" s="5">
        <f t="shared" si="14"/>
        <v>3194.2</v>
      </c>
      <c r="F39" s="5">
        <f t="shared" si="15"/>
        <v>3231.2</v>
      </c>
      <c r="G39" s="5">
        <f t="shared" si="16"/>
        <v>3245.4</v>
      </c>
      <c r="H39" s="5">
        <f t="shared" si="17"/>
        <v>3246.2</v>
      </c>
      <c r="I39" s="5">
        <f t="shared" si="18"/>
        <v>3238.7</v>
      </c>
      <c r="J39" s="5">
        <f t="shared" si="19"/>
        <v>3225.8</v>
      </c>
      <c r="K39" s="5">
        <f t="shared" si="20"/>
        <v>3209.3</v>
      </c>
      <c r="L39" s="21">
        <f t="shared" si="21"/>
        <v>3190.2</v>
      </c>
    </row>
    <row r="40" spans="1:12" x14ac:dyDescent="0.3">
      <c r="A40" s="17">
        <v>60</v>
      </c>
      <c r="B40" s="17">
        <f t="shared" si="11"/>
        <v>2792</v>
      </c>
      <c r="C40" s="5">
        <f t="shared" si="12"/>
        <v>2992.8</v>
      </c>
      <c r="D40" s="5">
        <f t="shared" si="13"/>
        <v>3131</v>
      </c>
      <c r="E40" s="5">
        <f t="shared" si="14"/>
        <v>3210.6</v>
      </c>
      <c r="F40" s="5">
        <f t="shared" si="15"/>
        <v>3249.5</v>
      </c>
      <c r="G40" s="5">
        <f t="shared" si="16"/>
        <v>3264.4</v>
      </c>
      <c r="H40" s="5">
        <f t="shared" si="17"/>
        <v>3265.3</v>
      </c>
      <c r="I40" s="5">
        <f t="shared" si="18"/>
        <v>3257.5</v>
      </c>
      <c r="J40" s="5">
        <f t="shared" si="19"/>
        <v>3244.2</v>
      </c>
      <c r="K40" s="5">
        <f t="shared" si="20"/>
        <v>3227.1</v>
      </c>
      <c r="L40" s="21">
        <f t="shared" si="21"/>
        <v>3207.4</v>
      </c>
    </row>
    <row r="41" spans="1:12" x14ac:dyDescent="0.3">
      <c r="A41" s="17">
        <v>70</v>
      </c>
      <c r="B41" s="17">
        <f t="shared" si="11"/>
        <v>2794.9</v>
      </c>
      <c r="C41" s="5">
        <f t="shared" si="12"/>
        <v>2999</v>
      </c>
      <c r="D41" s="5">
        <f t="shared" si="13"/>
        <v>3141.5</v>
      </c>
      <c r="E41" s="5">
        <f t="shared" si="14"/>
        <v>3224.2</v>
      </c>
      <c r="F41" s="5">
        <f t="shared" si="15"/>
        <v>3264.9</v>
      </c>
      <c r="G41" s="5">
        <f t="shared" si="16"/>
        <v>3280.5</v>
      </c>
      <c r="H41" s="5">
        <f t="shared" si="17"/>
        <v>3281.4</v>
      </c>
      <c r="I41" s="5">
        <f t="shared" si="18"/>
        <v>3273.4</v>
      </c>
      <c r="J41" s="5">
        <f t="shared" si="19"/>
        <v>3259.7</v>
      </c>
      <c r="K41" s="5">
        <f t="shared" si="20"/>
        <v>3242.2</v>
      </c>
      <c r="L41" s="21">
        <f t="shared" si="21"/>
        <v>3221.9</v>
      </c>
    </row>
    <row r="42" spans="1:12" x14ac:dyDescent="0.3">
      <c r="A42" s="17">
        <v>80</v>
      </c>
      <c r="B42" s="17">
        <f t="shared" si="11"/>
        <v>2797.2</v>
      </c>
      <c r="C42" s="5">
        <f t="shared" si="12"/>
        <v>3004.2</v>
      </c>
      <c r="D42" s="5">
        <f t="shared" si="13"/>
        <v>3150.3</v>
      </c>
      <c r="E42" s="5">
        <f t="shared" si="14"/>
        <v>3236</v>
      </c>
      <c r="F42" s="5">
        <f t="shared" si="15"/>
        <v>3278.2</v>
      </c>
      <c r="G42" s="5">
        <f t="shared" si="16"/>
        <v>3294.4</v>
      </c>
      <c r="H42" s="5">
        <f t="shared" si="17"/>
        <v>3295.4</v>
      </c>
      <c r="I42" s="5">
        <f t="shared" si="18"/>
        <v>3287.2</v>
      </c>
      <c r="J42" s="5">
        <f t="shared" si="19"/>
        <v>3273.1</v>
      </c>
      <c r="K42" s="5">
        <f t="shared" si="20"/>
        <v>3255.1</v>
      </c>
      <c r="L42" s="21">
        <f t="shared" si="21"/>
        <v>3234.3</v>
      </c>
    </row>
    <row r="43" spans="1:12" x14ac:dyDescent="0.3">
      <c r="A43" s="17">
        <v>90</v>
      </c>
      <c r="B43" s="17">
        <f t="shared" si="11"/>
        <v>2799.2</v>
      </c>
      <c r="C43" s="5">
        <f t="shared" si="12"/>
        <v>3008.7</v>
      </c>
      <c r="D43" s="5">
        <f t="shared" si="13"/>
        <v>3157.9</v>
      </c>
      <c r="E43" s="5">
        <f t="shared" si="14"/>
        <v>3246.2</v>
      </c>
      <c r="F43" s="5">
        <f t="shared" si="15"/>
        <v>3289.9</v>
      </c>
      <c r="G43" s="5">
        <f t="shared" si="16"/>
        <v>3306.6</v>
      </c>
      <c r="H43" s="5">
        <f t="shared" si="17"/>
        <v>3307.7</v>
      </c>
      <c r="I43" s="5">
        <f t="shared" si="18"/>
        <v>3299.3</v>
      </c>
      <c r="J43" s="5">
        <f t="shared" si="19"/>
        <v>3284.9</v>
      </c>
      <c r="K43" s="5">
        <f t="shared" si="20"/>
        <v>3266.5</v>
      </c>
      <c r="L43" s="21">
        <f t="shared" si="21"/>
        <v>3245.3</v>
      </c>
    </row>
    <row r="44" spans="1:12" x14ac:dyDescent="0.3">
      <c r="A44" s="18">
        <v>100</v>
      </c>
      <c r="B44" s="18">
        <f t="shared" si="11"/>
        <v>2800.9</v>
      </c>
      <c r="C44" s="14">
        <f t="shared" si="12"/>
        <v>3012.5</v>
      </c>
      <c r="D44" s="14">
        <f t="shared" si="13"/>
        <v>3164.6</v>
      </c>
      <c r="E44" s="14">
        <f t="shared" si="14"/>
        <v>3255.3</v>
      </c>
      <c r="F44" s="14">
        <f t="shared" si="15"/>
        <v>3300.2</v>
      </c>
      <c r="G44" s="14">
        <f t="shared" si="16"/>
        <v>3317.5</v>
      </c>
      <c r="H44" s="14">
        <f t="shared" si="17"/>
        <v>3318.6</v>
      </c>
      <c r="I44" s="14">
        <f t="shared" si="18"/>
        <v>3310.1</v>
      </c>
      <c r="J44" s="14">
        <f t="shared" si="19"/>
        <v>3295.4</v>
      </c>
      <c r="K44" s="14">
        <f t="shared" si="20"/>
        <v>3276.6</v>
      </c>
      <c r="L44" s="22">
        <f t="shared" si="21"/>
        <v>3255</v>
      </c>
    </row>
    <row r="45" spans="1:12" x14ac:dyDescent="0.3">
      <c r="I45" s="2"/>
    </row>
    <row r="46" spans="1:12" x14ac:dyDescent="0.3">
      <c r="I46" s="2"/>
    </row>
    <row r="47" spans="1:12" x14ac:dyDescent="0.3">
      <c r="I47" s="2"/>
    </row>
    <row r="48" spans="1:12" x14ac:dyDescent="0.3">
      <c r="I48" s="2"/>
    </row>
    <row r="49" spans="9:9" x14ac:dyDescent="0.3">
      <c r="I49" s="2"/>
    </row>
    <row r="50" spans="9:9" x14ac:dyDescent="0.3">
      <c r="I50" s="2"/>
    </row>
    <row r="51" spans="9:9" x14ac:dyDescent="0.3">
      <c r="I51" s="2"/>
    </row>
    <row r="52" spans="9:9" x14ac:dyDescent="0.3">
      <c r="I52" s="2"/>
    </row>
    <row r="53" spans="9:9" x14ac:dyDescent="0.3">
      <c r="I53" s="2"/>
    </row>
    <row r="54" spans="9:9" x14ac:dyDescent="0.3">
      <c r="I54" s="2"/>
    </row>
    <row r="55" spans="9:9" x14ac:dyDescent="0.3">
      <c r="I55" s="2"/>
    </row>
    <row r="56" spans="9:9" x14ac:dyDescent="0.3">
      <c r="I56" s="2"/>
    </row>
    <row r="57" spans="9:9" x14ac:dyDescent="0.3">
      <c r="I57" s="2"/>
    </row>
    <row r="58" spans="9:9" x14ac:dyDescent="0.3">
      <c r="I58" s="2"/>
    </row>
    <row r="59" spans="9:9" x14ac:dyDescent="0.3">
      <c r="I59" s="2"/>
    </row>
    <row r="60" spans="9:9" x14ac:dyDescent="0.3">
      <c r="I60" s="2"/>
    </row>
    <row r="61" spans="9:9" x14ac:dyDescent="0.3">
      <c r="I61" s="2"/>
    </row>
    <row r="62" spans="9:9" x14ac:dyDescent="0.3">
      <c r="I62" s="2"/>
    </row>
    <row r="63" spans="9:9" x14ac:dyDescent="0.3">
      <c r="I63" s="2"/>
    </row>
    <row r="64" spans="9:9" x14ac:dyDescent="0.3">
      <c r="I64" s="2"/>
    </row>
    <row r="65" spans="1:12" x14ac:dyDescent="0.3">
      <c r="I65" s="2"/>
    </row>
    <row r="66" spans="1:12" x14ac:dyDescent="0.3">
      <c r="I66" s="2"/>
    </row>
    <row r="67" spans="1:12" x14ac:dyDescent="0.3">
      <c r="I67" s="2"/>
    </row>
    <row r="68" spans="1:12" s="25" customFormat="1" x14ac:dyDescent="0.3">
      <c r="A68" s="77" t="s">
        <v>31</v>
      </c>
      <c r="B68" s="77"/>
      <c r="C68" s="77"/>
      <c r="D68" s="77"/>
      <c r="E68" s="77"/>
      <c r="F68" s="77"/>
      <c r="G68" s="77"/>
      <c r="I68" s="77" t="s">
        <v>33</v>
      </c>
      <c r="J68" s="77"/>
      <c r="K68" s="77"/>
      <c r="L68" s="77"/>
    </row>
    <row r="69" spans="1:12" s="28" customFormat="1" x14ac:dyDescent="0.3">
      <c r="A69" s="26" t="s">
        <v>26</v>
      </c>
      <c r="B69" s="27" t="s">
        <v>32</v>
      </c>
      <c r="C69" s="28" t="s">
        <v>27</v>
      </c>
      <c r="D69" s="26" t="s">
        <v>28</v>
      </c>
      <c r="E69" s="28" t="s">
        <v>29</v>
      </c>
      <c r="F69" s="28" t="s">
        <v>30</v>
      </c>
      <c r="G69" s="28" t="s">
        <v>65</v>
      </c>
      <c r="I69" s="28" t="s">
        <v>26</v>
      </c>
      <c r="J69" s="28" t="s">
        <v>27</v>
      </c>
      <c r="K69" s="26" t="s">
        <v>28</v>
      </c>
      <c r="L69" s="28" t="s">
        <v>29</v>
      </c>
    </row>
    <row r="70" spans="1:12" x14ac:dyDescent="0.3">
      <c r="A70" s="5">
        <v>10</v>
      </c>
      <c r="B70" s="3">
        <v>1</v>
      </c>
      <c r="C70" s="2">
        <v>1.1644000000000001</v>
      </c>
      <c r="D70" s="5">
        <v>2744.4</v>
      </c>
      <c r="E70" s="2">
        <v>20.808</v>
      </c>
      <c r="F70" s="2">
        <f>8.314/E70*1000</f>
        <v>399.55786236063051</v>
      </c>
      <c r="G70" s="2">
        <f>SQRT(F70*D70/C70*((C70+1)/2)^((C70+1)/(C70-1)))</f>
        <v>1632.2981269845889</v>
      </c>
      <c r="I70" s="6">
        <v>5.6871</v>
      </c>
      <c r="J70" s="2">
        <v>1.177</v>
      </c>
      <c r="K70" s="2">
        <v>2538.5</v>
      </c>
      <c r="L70" s="2">
        <v>20.896000000000001</v>
      </c>
    </row>
    <row r="71" spans="1:12" x14ac:dyDescent="0.3">
      <c r="A71" s="5">
        <v>20</v>
      </c>
      <c r="B71" s="3">
        <v>1</v>
      </c>
      <c r="C71" s="2">
        <v>1.1713</v>
      </c>
      <c r="D71" s="5">
        <v>2766.1</v>
      </c>
      <c r="E71" s="2">
        <v>20.850999999999999</v>
      </c>
      <c r="F71" s="2">
        <f t="shared" ref="F71:F134" si="22">8.314/E71*1000</f>
        <v>398.7338736751235</v>
      </c>
      <c r="G71" s="2">
        <f t="shared" ref="G71:G134" si="23">SQRT(F71*D71/C71*((C71+1)/2)^((C71+1)/(C71-1)))</f>
        <v>1633.5533601223619</v>
      </c>
      <c r="I71" s="6">
        <v>11.352</v>
      </c>
      <c r="J71" s="2">
        <v>1.1828000000000001</v>
      </c>
      <c r="K71" s="2">
        <v>2548.9</v>
      </c>
      <c r="L71" s="2">
        <v>20.920999999999999</v>
      </c>
    </row>
    <row r="72" spans="1:12" x14ac:dyDescent="0.3">
      <c r="A72" s="5">
        <v>30</v>
      </c>
      <c r="B72" s="3">
        <v>1</v>
      </c>
      <c r="C72" s="2">
        <v>1.1749000000000001</v>
      </c>
      <c r="D72" s="5">
        <v>2776.8</v>
      </c>
      <c r="E72" s="2">
        <v>20.873000000000001</v>
      </c>
      <c r="F72" s="2">
        <f t="shared" si="22"/>
        <v>398.31361088487517</v>
      </c>
      <c r="G72" s="2">
        <f t="shared" si="23"/>
        <v>1634.034250519876</v>
      </c>
      <c r="I72" s="6">
        <v>17.010999999999999</v>
      </c>
      <c r="J72" s="2">
        <v>1.1857</v>
      </c>
      <c r="K72" s="2">
        <v>2553.6999999999998</v>
      </c>
      <c r="L72" s="2">
        <v>20.933</v>
      </c>
    </row>
    <row r="73" spans="1:12" x14ac:dyDescent="0.3">
      <c r="A73" s="5">
        <v>40</v>
      </c>
      <c r="B73" s="3">
        <v>1</v>
      </c>
      <c r="C73" s="2">
        <v>1.1773</v>
      </c>
      <c r="D73" s="5">
        <v>2783.6</v>
      </c>
      <c r="E73" s="2">
        <v>20.885999999999999</v>
      </c>
      <c r="F73" s="2">
        <f t="shared" si="22"/>
        <v>398.06568993584216</v>
      </c>
      <c r="G73" s="2">
        <f t="shared" si="23"/>
        <v>1634.319870217236</v>
      </c>
      <c r="I73" s="6">
        <v>22.667999999999999</v>
      </c>
      <c r="J73" s="2">
        <v>1.1875</v>
      </c>
      <c r="K73" s="2">
        <v>2556.6999999999998</v>
      </c>
      <c r="L73" s="2">
        <v>20.94</v>
      </c>
    </row>
    <row r="74" spans="1:12" x14ac:dyDescent="0.3">
      <c r="A74" s="5">
        <v>50</v>
      </c>
      <c r="B74" s="3">
        <v>1</v>
      </c>
      <c r="C74" s="2">
        <v>1.179</v>
      </c>
      <c r="D74" s="5">
        <v>2788.4</v>
      </c>
      <c r="E74" s="2">
        <v>20.896000000000001</v>
      </c>
      <c r="F74" s="2">
        <f t="shared" si="22"/>
        <v>397.87519142419603</v>
      </c>
      <c r="G74" s="2">
        <f t="shared" si="23"/>
        <v>1634.4854527232201</v>
      </c>
      <c r="I74" s="6">
        <v>28.321999999999999</v>
      </c>
      <c r="J74" s="2">
        <v>1.1888000000000001</v>
      </c>
      <c r="K74" s="2">
        <v>2558.6999999999998</v>
      </c>
      <c r="L74" s="2">
        <v>20.945</v>
      </c>
    </row>
    <row r="75" spans="1:12" x14ac:dyDescent="0.3">
      <c r="A75" s="5">
        <v>60</v>
      </c>
      <c r="B75" s="3">
        <v>1</v>
      </c>
      <c r="C75" s="2">
        <v>1.1803999999999999</v>
      </c>
      <c r="D75" s="5">
        <v>2792</v>
      </c>
      <c r="E75" s="2">
        <v>20.902999999999999</v>
      </c>
      <c r="F75" s="2">
        <f t="shared" si="22"/>
        <v>397.74195091613643</v>
      </c>
      <c r="G75" s="2">
        <f t="shared" si="23"/>
        <v>1634.5662839403028</v>
      </c>
      <c r="I75" s="6">
        <v>33.975999999999999</v>
      </c>
      <c r="J75" s="2">
        <v>1.1898</v>
      </c>
      <c r="K75" s="2">
        <v>2560.3000000000002</v>
      </c>
      <c r="L75" s="2">
        <v>20.949000000000002</v>
      </c>
    </row>
    <row r="76" spans="1:12" x14ac:dyDescent="0.3">
      <c r="A76" s="5">
        <v>70</v>
      </c>
      <c r="B76" s="3">
        <v>1</v>
      </c>
      <c r="C76" s="2">
        <v>1.1815</v>
      </c>
      <c r="D76" s="5">
        <v>2794.9</v>
      </c>
      <c r="E76" s="2">
        <v>20.908999999999999</v>
      </c>
      <c r="F76" s="2">
        <f t="shared" si="22"/>
        <v>397.62781577311205</v>
      </c>
      <c r="G76" s="2">
        <f t="shared" si="23"/>
        <v>1634.6309756941973</v>
      </c>
      <c r="I76" s="6">
        <v>39.628999999999998</v>
      </c>
      <c r="J76" s="2">
        <v>1.1906000000000001</v>
      </c>
      <c r="K76" s="2">
        <v>2561.5</v>
      </c>
      <c r="L76" s="2">
        <v>20.952000000000002</v>
      </c>
    </row>
    <row r="77" spans="1:12" x14ac:dyDescent="0.3">
      <c r="A77" s="5">
        <v>80</v>
      </c>
      <c r="B77" s="3">
        <v>1</v>
      </c>
      <c r="C77" s="2">
        <v>1.1823999999999999</v>
      </c>
      <c r="D77" s="5">
        <v>2797.2</v>
      </c>
      <c r="E77" s="2">
        <v>20.914000000000001</v>
      </c>
      <c r="F77" s="2">
        <f t="shared" si="22"/>
        <v>397.5327531796882</v>
      </c>
      <c r="G77" s="2">
        <f t="shared" si="23"/>
        <v>1634.6589726304585</v>
      </c>
      <c r="I77" s="6">
        <v>45.28</v>
      </c>
      <c r="J77" s="2">
        <v>1.1913</v>
      </c>
      <c r="K77" s="2">
        <v>2562.4</v>
      </c>
      <c r="L77" s="2">
        <v>20.954000000000001</v>
      </c>
    </row>
    <row r="78" spans="1:12" x14ac:dyDescent="0.3">
      <c r="A78" s="5">
        <v>90</v>
      </c>
      <c r="B78" s="3">
        <v>1</v>
      </c>
      <c r="C78" s="2">
        <v>1.1831</v>
      </c>
      <c r="D78" s="5">
        <v>2799.2</v>
      </c>
      <c r="E78" s="2">
        <v>20.917999999999999</v>
      </c>
      <c r="F78" s="2">
        <f t="shared" si="22"/>
        <v>397.45673582560477</v>
      </c>
      <c r="G78" s="2">
        <f t="shared" si="23"/>
        <v>1634.7379968363202</v>
      </c>
      <c r="I78" s="6">
        <v>50.930999999999997</v>
      </c>
      <c r="J78" s="2">
        <v>1.1918</v>
      </c>
      <c r="K78" s="2">
        <v>2563.3000000000002</v>
      </c>
      <c r="L78" s="2">
        <v>20.956</v>
      </c>
    </row>
    <row r="79" spans="1:12" x14ac:dyDescent="0.3">
      <c r="A79" s="5">
        <v>100</v>
      </c>
      <c r="B79" s="3">
        <v>1</v>
      </c>
      <c r="C79" s="2">
        <v>1.1838</v>
      </c>
      <c r="D79" s="5">
        <v>2800.9</v>
      </c>
      <c r="E79" s="2">
        <v>20.920999999999999</v>
      </c>
      <c r="F79" s="2">
        <f t="shared" si="22"/>
        <v>397.39974188614315</v>
      </c>
      <c r="G79" s="2">
        <f t="shared" si="23"/>
        <v>1634.7684186988054</v>
      </c>
      <c r="I79" s="6">
        <v>56.582000000000001</v>
      </c>
      <c r="J79" s="2">
        <v>1.1922999999999999</v>
      </c>
      <c r="K79" s="2">
        <v>2563.9</v>
      </c>
      <c r="L79" s="2">
        <v>20.957999999999998</v>
      </c>
    </row>
    <row r="80" spans="1:12" x14ac:dyDescent="0.3">
      <c r="A80" s="5">
        <v>10</v>
      </c>
      <c r="B80" s="3">
        <v>1.1000000000000001</v>
      </c>
      <c r="C80" s="2">
        <v>1.1415</v>
      </c>
      <c r="D80" s="5">
        <v>2900.2</v>
      </c>
      <c r="E80" s="2">
        <v>21.617000000000001</v>
      </c>
      <c r="F80" s="2">
        <f t="shared" si="22"/>
        <v>384.60470925660354</v>
      </c>
      <c r="G80" s="2">
        <f t="shared" si="23"/>
        <v>1658.200840222539</v>
      </c>
      <c r="I80" s="6">
        <v>5.7416</v>
      </c>
      <c r="J80" s="2">
        <v>1.1500999999999999</v>
      </c>
      <c r="K80" s="2">
        <v>2723.2</v>
      </c>
      <c r="L80" s="2">
        <v>21.779</v>
      </c>
    </row>
    <row r="81" spans="1:12" x14ac:dyDescent="0.3">
      <c r="A81" s="5">
        <v>20</v>
      </c>
      <c r="B81" s="3">
        <v>1.1000000000000001</v>
      </c>
      <c r="C81" s="2">
        <v>1.1482000000000001</v>
      </c>
      <c r="D81" s="5">
        <v>2940.2</v>
      </c>
      <c r="E81" s="2">
        <v>21.701000000000001</v>
      </c>
      <c r="F81" s="2">
        <f t="shared" si="22"/>
        <v>383.11598543845906</v>
      </c>
      <c r="G81" s="2">
        <f t="shared" si="23"/>
        <v>1662.8216856605407</v>
      </c>
      <c r="I81" s="6">
        <v>11.452999999999999</v>
      </c>
      <c r="J81" s="2">
        <v>1.1576</v>
      </c>
      <c r="K81" s="2">
        <v>2748.4</v>
      </c>
      <c r="L81" s="2">
        <v>21.84</v>
      </c>
    </row>
    <row r="82" spans="1:12" x14ac:dyDescent="0.3">
      <c r="A82" s="5">
        <v>30</v>
      </c>
      <c r="B82" s="3">
        <v>1.1000000000000001</v>
      </c>
      <c r="C82" s="2">
        <v>1.1521999999999999</v>
      </c>
      <c r="D82" s="5">
        <v>2961.2</v>
      </c>
      <c r="E82" s="2">
        <v>21.745000000000001</v>
      </c>
      <c r="F82" s="2">
        <f t="shared" si="22"/>
        <v>382.34076799264199</v>
      </c>
      <c r="G82" s="2">
        <f t="shared" si="23"/>
        <v>1664.9568015006782</v>
      </c>
      <c r="I82" s="6">
        <v>17.154</v>
      </c>
      <c r="J82" s="2">
        <v>1.1617999999999999</v>
      </c>
      <c r="K82" s="2">
        <v>2760.9</v>
      </c>
      <c r="L82" s="2">
        <v>21.87</v>
      </c>
    </row>
    <row r="83" spans="1:12" x14ac:dyDescent="0.3">
      <c r="A83" s="5">
        <v>40</v>
      </c>
      <c r="B83" s="3">
        <v>1.1000000000000001</v>
      </c>
      <c r="C83" s="2">
        <v>1.1551</v>
      </c>
      <c r="D83" s="5">
        <v>2975</v>
      </c>
      <c r="E83" s="2">
        <v>21.774000000000001</v>
      </c>
      <c r="F83" s="2">
        <f t="shared" si="22"/>
        <v>381.83154220630104</v>
      </c>
      <c r="G83" s="2">
        <f t="shared" si="23"/>
        <v>1666.2000040564392</v>
      </c>
      <c r="I83" s="6">
        <v>22.849</v>
      </c>
      <c r="J83" s="2">
        <v>1.1646000000000001</v>
      </c>
      <c r="K83" s="2">
        <v>2768.8</v>
      </c>
      <c r="L83" s="2">
        <v>21.888999999999999</v>
      </c>
    </row>
    <row r="84" spans="1:12" x14ac:dyDescent="0.3">
      <c r="A84" s="5">
        <v>50</v>
      </c>
      <c r="B84" s="3">
        <v>1.1000000000000001</v>
      </c>
      <c r="C84" s="2">
        <v>1.1572</v>
      </c>
      <c r="D84" s="5">
        <v>2985</v>
      </c>
      <c r="E84" s="2">
        <v>21.795999999999999</v>
      </c>
      <c r="F84" s="2">
        <f t="shared" si="22"/>
        <v>381.44613690585425</v>
      </c>
      <c r="G84" s="2">
        <f t="shared" si="23"/>
        <v>1667.0571884755618</v>
      </c>
      <c r="I84" s="6">
        <v>28.541</v>
      </c>
      <c r="J84" s="2">
        <v>1.1667000000000001</v>
      </c>
      <c r="K84" s="2">
        <v>2774.4</v>
      </c>
      <c r="L84" s="2">
        <v>21.902999999999999</v>
      </c>
    </row>
    <row r="85" spans="1:12" x14ac:dyDescent="0.3">
      <c r="A85" s="5">
        <v>60</v>
      </c>
      <c r="B85" s="3">
        <v>1.1000000000000001</v>
      </c>
      <c r="C85" s="2">
        <v>1.1589</v>
      </c>
      <c r="D85" s="5">
        <v>2992.8</v>
      </c>
      <c r="E85" s="2">
        <v>21.812000000000001</v>
      </c>
      <c r="F85" s="2">
        <f t="shared" si="22"/>
        <v>381.1663304602971</v>
      </c>
      <c r="G85" s="2">
        <f t="shared" si="23"/>
        <v>1667.7339172506399</v>
      </c>
      <c r="I85" s="6">
        <v>34.228999999999999</v>
      </c>
      <c r="J85" s="2">
        <v>1.1682999999999999</v>
      </c>
      <c r="K85" s="2">
        <v>2778.7</v>
      </c>
      <c r="L85" s="2">
        <v>21.913</v>
      </c>
    </row>
    <row r="86" spans="1:12" x14ac:dyDescent="0.3">
      <c r="A86" s="5">
        <v>70</v>
      </c>
      <c r="B86" s="3">
        <v>1.1000000000000001</v>
      </c>
      <c r="C86" s="2">
        <v>1.1604000000000001</v>
      </c>
      <c r="D86" s="5">
        <v>2999</v>
      </c>
      <c r="E86" s="2">
        <v>21.824999999999999</v>
      </c>
      <c r="F86" s="2">
        <f t="shared" si="22"/>
        <v>380.9392898052692</v>
      </c>
      <c r="G86" s="2">
        <f t="shared" si="23"/>
        <v>1668.1812168588697</v>
      </c>
      <c r="I86" s="6">
        <v>39.915999999999997</v>
      </c>
      <c r="J86" s="2">
        <v>1.1697</v>
      </c>
      <c r="K86" s="2">
        <v>2782.1</v>
      </c>
      <c r="L86" s="2">
        <v>21.920999999999999</v>
      </c>
    </row>
    <row r="87" spans="1:12" x14ac:dyDescent="0.3">
      <c r="A87" s="5">
        <v>80</v>
      </c>
      <c r="B87" s="3">
        <v>1.1000000000000001</v>
      </c>
      <c r="C87" s="2">
        <v>1.1616</v>
      </c>
      <c r="D87" s="5">
        <v>3004.2</v>
      </c>
      <c r="E87" s="2">
        <v>21.835999999999999</v>
      </c>
      <c r="F87" s="2">
        <f t="shared" si="22"/>
        <v>380.74738963180073</v>
      </c>
      <c r="G87" s="2">
        <f t="shared" si="23"/>
        <v>1668.5814191319698</v>
      </c>
      <c r="I87" s="6">
        <v>45.600999999999999</v>
      </c>
      <c r="J87" s="2">
        <v>1.1708000000000001</v>
      </c>
      <c r="K87" s="2">
        <v>2784.8</v>
      </c>
      <c r="L87" s="2">
        <v>21.928000000000001</v>
      </c>
    </row>
    <row r="88" spans="1:12" x14ac:dyDescent="0.3">
      <c r="A88" s="5">
        <v>90</v>
      </c>
      <c r="B88" s="3">
        <v>1.1000000000000001</v>
      </c>
      <c r="C88" s="2">
        <v>1.1626000000000001</v>
      </c>
      <c r="D88" s="5">
        <v>3008.7</v>
      </c>
      <c r="E88" s="2">
        <v>21.846</v>
      </c>
      <c r="F88" s="2">
        <f t="shared" si="22"/>
        <v>380.57310262748331</v>
      </c>
      <c r="G88" s="2">
        <f t="shared" si="23"/>
        <v>1668.9282526573961</v>
      </c>
      <c r="I88" s="6">
        <v>51.283999999999999</v>
      </c>
      <c r="J88" s="2">
        <v>1.1718</v>
      </c>
      <c r="K88" s="2">
        <v>2787.1</v>
      </c>
      <c r="L88" s="2">
        <v>21.934000000000001</v>
      </c>
    </row>
    <row r="89" spans="1:12" x14ac:dyDescent="0.3">
      <c r="A89" s="5">
        <v>100</v>
      </c>
      <c r="B89" s="3">
        <v>1.1000000000000001</v>
      </c>
      <c r="C89" s="2">
        <v>1.1636</v>
      </c>
      <c r="D89" s="5">
        <v>3012.5</v>
      </c>
      <c r="E89" s="2">
        <v>21.853999999999999</v>
      </c>
      <c r="F89" s="2">
        <f t="shared" si="22"/>
        <v>380.43378786492178</v>
      </c>
      <c r="G89" s="2">
        <f t="shared" si="23"/>
        <v>1669.1564873602149</v>
      </c>
      <c r="I89" s="6">
        <v>56.966000000000001</v>
      </c>
      <c r="J89" s="2">
        <v>1.1726000000000001</v>
      </c>
      <c r="K89" s="2">
        <v>2789.1</v>
      </c>
      <c r="L89" s="2">
        <v>21.939</v>
      </c>
    </row>
    <row r="90" spans="1:12" x14ac:dyDescent="0.3">
      <c r="A90" s="5">
        <v>10</v>
      </c>
      <c r="B90" s="3">
        <v>1.2</v>
      </c>
      <c r="C90" s="2">
        <v>1.1271</v>
      </c>
      <c r="D90" s="5">
        <v>2993.8</v>
      </c>
      <c r="E90" s="2">
        <v>22.295000000000002</v>
      </c>
      <c r="F90" s="2">
        <f t="shared" si="22"/>
        <v>372.90872392913207</v>
      </c>
      <c r="G90" s="2">
        <f t="shared" si="23"/>
        <v>1666.6209850754267</v>
      </c>
      <c r="I90" s="6">
        <v>5.7845000000000004</v>
      </c>
      <c r="J90" s="2">
        <v>1.1296999999999999</v>
      </c>
      <c r="K90" s="2">
        <v>2841.9</v>
      </c>
      <c r="L90" s="2">
        <v>22.521999999999998</v>
      </c>
    </row>
    <row r="91" spans="1:12" x14ac:dyDescent="0.3">
      <c r="A91" s="5">
        <v>20</v>
      </c>
      <c r="B91" s="3">
        <v>1.2</v>
      </c>
      <c r="C91" s="2">
        <v>1.1322000000000001</v>
      </c>
      <c r="D91" s="5">
        <v>3049.9</v>
      </c>
      <c r="E91" s="2">
        <v>22.417999999999999</v>
      </c>
      <c r="F91" s="2">
        <f t="shared" si="22"/>
        <v>370.8626996163797</v>
      </c>
      <c r="G91" s="2">
        <f t="shared" si="23"/>
        <v>1674.7834484939272</v>
      </c>
      <c r="I91" s="6">
        <v>11.544</v>
      </c>
      <c r="J91" s="2">
        <v>1.1357999999999999</v>
      </c>
      <c r="K91" s="2">
        <v>2885</v>
      </c>
      <c r="L91" s="2">
        <v>22.626000000000001</v>
      </c>
    </row>
    <row r="92" spans="1:12" x14ac:dyDescent="0.3">
      <c r="A92" s="5">
        <v>30</v>
      </c>
      <c r="B92" s="3">
        <v>1.2</v>
      </c>
      <c r="C92" s="2">
        <v>1.1353</v>
      </c>
      <c r="D92" s="5">
        <v>3081.1</v>
      </c>
      <c r="E92" s="2">
        <v>22.486999999999998</v>
      </c>
      <c r="F92" s="2">
        <f t="shared" si="22"/>
        <v>369.72472984390987</v>
      </c>
      <c r="G92" s="2">
        <f t="shared" si="23"/>
        <v>1679.0701058455747</v>
      </c>
      <c r="I92" s="6">
        <v>17.292000000000002</v>
      </c>
      <c r="J92" s="2">
        <v>1.1395</v>
      </c>
      <c r="K92" s="2">
        <v>2908.1</v>
      </c>
      <c r="L92" s="2">
        <v>22.683</v>
      </c>
    </row>
    <row r="93" spans="1:12" x14ac:dyDescent="0.3">
      <c r="A93" s="5">
        <v>40</v>
      </c>
      <c r="B93" s="3">
        <v>1.2</v>
      </c>
      <c r="C93" s="2">
        <v>1.1375999999999999</v>
      </c>
      <c r="D93" s="5">
        <v>3102.3</v>
      </c>
      <c r="E93" s="2">
        <v>22.533999999999999</v>
      </c>
      <c r="F93" s="2">
        <f t="shared" si="22"/>
        <v>368.95358125499251</v>
      </c>
      <c r="G93" s="2">
        <f t="shared" si="23"/>
        <v>1681.8390320851868</v>
      </c>
      <c r="I93" s="6">
        <v>23.033000000000001</v>
      </c>
      <c r="J93" s="2">
        <v>1.1423000000000001</v>
      </c>
      <c r="K93" s="2">
        <v>2923.5</v>
      </c>
      <c r="L93" s="2">
        <v>22.721</v>
      </c>
    </row>
    <row r="94" spans="1:12" x14ac:dyDescent="0.3">
      <c r="A94" s="5">
        <v>50</v>
      </c>
      <c r="B94" s="3">
        <v>1.2</v>
      </c>
      <c r="C94" s="2">
        <v>1.1394</v>
      </c>
      <c r="D94" s="5">
        <v>3118.3</v>
      </c>
      <c r="E94" s="2">
        <v>22.568999999999999</v>
      </c>
      <c r="F94" s="2">
        <f t="shared" si="22"/>
        <v>368.38140812619082</v>
      </c>
      <c r="G94" s="2">
        <f t="shared" si="23"/>
        <v>1683.8933281554239</v>
      </c>
      <c r="I94" s="6">
        <v>28.768999999999998</v>
      </c>
      <c r="J94" s="2">
        <v>1.1444000000000001</v>
      </c>
      <c r="K94" s="2">
        <v>2934.8</v>
      </c>
      <c r="L94" s="2">
        <v>22.748000000000001</v>
      </c>
    </row>
    <row r="95" spans="1:12" x14ac:dyDescent="0.3">
      <c r="A95" s="5">
        <v>60</v>
      </c>
      <c r="B95" s="3">
        <v>1.2</v>
      </c>
      <c r="C95" s="2">
        <v>1.1409</v>
      </c>
      <c r="D95" s="5">
        <v>3131</v>
      </c>
      <c r="E95" s="2">
        <v>22.597999999999999</v>
      </c>
      <c r="F95" s="2">
        <f t="shared" si="22"/>
        <v>367.90866448358264</v>
      </c>
      <c r="G95" s="2">
        <f t="shared" si="23"/>
        <v>1685.4289589487944</v>
      </c>
      <c r="I95" s="6">
        <v>34.502000000000002</v>
      </c>
      <c r="J95" s="2">
        <v>1.1462000000000001</v>
      </c>
      <c r="K95" s="2">
        <v>2943.6</v>
      </c>
      <c r="L95" s="2">
        <v>22.77</v>
      </c>
    </row>
    <row r="96" spans="1:12" x14ac:dyDescent="0.3">
      <c r="A96" s="5">
        <v>70</v>
      </c>
      <c r="B96" s="3">
        <v>1.2</v>
      </c>
      <c r="C96" s="2">
        <v>1.1420999999999999</v>
      </c>
      <c r="D96" s="5">
        <v>3141.5</v>
      </c>
      <c r="E96" s="2">
        <v>22.620999999999999</v>
      </c>
      <c r="F96" s="2">
        <f t="shared" si="22"/>
        <v>367.53459175102779</v>
      </c>
      <c r="G96" s="2">
        <f t="shared" si="23"/>
        <v>1686.7491591765379</v>
      </c>
      <c r="I96" s="6">
        <v>40.229999999999997</v>
      </c>
      <c r="J96" s="2">
        <v>1.1476999999999999</v>
      </c>
      <c r="K96" s="2">
        <v>2950.8</v>
      </c>
      <c r="L96" s="2">
        <v>22.788</v>
      </c>
    </row>
    <row r="97" spans="1:12" x14ac:dyDescent="0.3">
      <c r="A97" s="5">
        <v>80</v>
      </c>
      <c r="B97" s="3">
        <v>1.2</v>
      </c>
      <c r="C97" s="2">
        <v>1.1433</v>
      </c>
      <c r="D97" s="5">
        <v>3150.3</v>
      </c>
      <c r="E97" s="2">
        <v>22.640999999999998</v>
      </c>
      <c r="F97" s="2">
        <f t="shared" si="22"/>
        <v>367.20992889006669</v>
      </c>
      <c r="G97" s="2">
        <f t="shared" si="23"/>
        <v>1687.7191989522673</v>
      </c>
      <c r="I97" s="6">
        <v>45.956000000000003</v>
      </c>
      <c r="J97" s="2">
        <v>1.149</v>
      </c>
      <c r="K97" s="2">
        <v>2956.7</v>
      </c>
      <c r="L97" s="2">
        <v>22.803000000000001</v>
      </c>
    </row>
    <row r="98" spans="1:12" x14ac:dyDescent="0.3">
      <c r="A98" s="5">
        <v>90</v>
      </c>
      <c r="B98" s="3">
        <v>1.2</v>
      </c>
      <c r="C98" s="2">
        <v>1.1442000000000001</v>
      </c>
      <c r="D98" s="5">
        <v>3157.9</v>
      </c>
      <c r="E98" s="2">
        <v>22.658000000000001</v>
      </c>
      <c r="F98" s="2">
        <f t="shared" si="22"/>
        <v>366.93441610027361</v>
      </c>
      <c r="G98" s="2">
        <f t="shared" si="23"/>
        <v>1688.6366206045511</v>
      </c>
      <c r="I98" s="6">
        <v>51.68</v>
      </c>
      <c r="J98" s="2">
        <v>1.1500999999999999</v>
      </c>
      <c r="K98" s="2">
        <v>2961.8</v>
      </c>
      <c r="L98" s="2">
        <v>22.815999999999999</v>
      </c>
    </row>
    <row r="99" spans="1:12" x14ac:dyDescent="0.3">
      <c r="A99" s="5">
        <v>100</v>
      </c>
      <c r="B99" s="3">
        <v>1.2</v>
      </c>
      <c r="C99" s="2">
        <v>1.1451</v>
      </c>
      <c r="D99" s="5">
        <v>3164.6</v>
      </c>
      <c r="E99" s="2">
        <v>22.672000000000001</v>
      </c>
      <c r="F99" s="2">
        <f t="shared" si="22"/>
        <v>366.70783345095271</v>
      </c>
      <c r="G99" s="2">
        <f t="shared" si="23"/>
        <v>1689.4221578510862</v>
      </c>
      <c r="I99" s="6">
        <v>57.402000000000001</v>
      </c>
      <c r="J99" s="2">
        <v>1.1511</v>
      </c>
      <c r="K99" s="2">
        <v>2966.3</v>
      </c>
      <c r="L99" s="2">
        <v>22.827000000000002</v>
      </c>
    </row>
    <row r="100" spans="1:12" x14ac:dyDescent="0.3">
      <c r="A100" s="5">
        <v>10</v>
      </c>
      <c r="B100" s="3">
        <v>1.3</v>
      </c>
      <c r="C100" s="2">
        <v>1.1202000000000001</v>
      </c>
      <c r="D100" s="5">
        <v>3043.9</v>
      </c>
      <c r="E100" s="2">
        <v>22.864999999999998</v>
      </c>
      <c r="F100" s="2">
        <f t="shared" si="22"/>
        <v>363.61250820030614</v>
      </c>
      <c r="G100" s="2">
        <f t="shared" si="23"/>
        <v>1663.1537445296265</v>
      </c>
      <c r="I100" s="6">
        <v>5.8067000000000002</v>
      </c>
      <c r="J100" s="2">
        <v>1.1193</v>
      </c>
      <c r="K100" s="2">
        <v>2905.5</v>
      </c>
      <c r="L100" s="2">
        <v>23.131</v>
      </c>
    </row>
    <row r="101" spans="1:12" x14ac:dyDescent="0.3">
      <c r="A101" s="5">
        <v>20</v>
      </c>
      <c r="B101" s="3">
        <v>1.3</v>
      </c>
      <c r="C101" s="2">
        <v>1.1238999999999999</v>
      </c>
      <c r="D101" s="5">
        <v>3109.6</v>
      </c>
      <c r="E101" s="2">
        <v>23.013999999999999</v>
      </c>
      <c r="F101" s="2">
        <f t="shared" si="22"/>
        <v>361.25836447379857</v>
      </c>
      <c r="G101" s="2">
        <f t="shared" si="23"/>
        <v>1673.5396822532132</v>
      </c>
      <c r="I101" s="6">
        <v>11.596</v>
      </c>
      <c r="J101" s="2">
        <v>1.1234</v>
      </c>
      <c r="K101" s="2">
        <v>2961.1</v>
      </c>
      <c r="L101" s="2">
        <v>23.268999999999998</v>
      </c>
    </row>
    <row r="102" spans="1:12" x14ac:dyDescent="0.3">
      <c r="A102" s="5">
        <v>30</v>
      </c>
      <c r="B102" s="3">
        <v>1.3</v>
      </c>
      <c r="C102" s="2">
        <v>1.1261000000000001</v>
      </c>
      <c r="D102" s="5">
        <v>3147.5</v>
      </c>
      <c r="E102" s="2">
        <v>23.100999999999999</v>
      </c>
      <c r="F102" s="2">
        <f t="shared" si="22"/>
        <v>359.89783992034978</v>
      </c>
      <c r="G102" s="2">
        <f t="shared" si="23"/>
        <v>1679.3349161102733</v>
      </c>
      <c r="I102" s="6">
        <v>17.378</v>
      </c>
      <c r="J102" s="2">
        <v>1.1259999999999999</v>
      </c>
      <c r="K102" s="2">
        <v>2992.6</v>
      </c>
      <c r="L102" s="2">
        <v>23.347999999999999</v>
      </c>
    </row>
    <row r="103" spans="1:12" x14ac:dyDescent="0.3">
      <c r="A103" s="5">
        <v>40</v>
      </c>
      <c r="B103" s="3">
        <v>1.3</v>
      </c>
      <c r="C103" s="2">
        <v>1.1277999999999999</v>
      </c>
      <c r="D103" s="5">
        <v>3173.9</v>
      </c>
      <c r="E103" s="2">
        <v>23.161999999999999</v>
      </c>
      <c r="F103" s="2">
        <f t="shared" si="22"/>
        <v>358.95000431741647</v>
      </c>
      <c r="G103" s="2">
        <f t="shared" si="23"/>
        <v>1683.2143414345785</v>
      </c>
      <c r="I103" s="6">
        <v>23.155000000000001</v>
      </c>
      <c r="J103" s="2">
        <v>1.1278999999999999</v>
      </c>
      <c r="K103" s="2">
        <v>3014.4</v>
      </c>
      <c r="L103" s="2">
        <v>23.402000000000001</v>
      </c>
    </row>
    <row r="104" spans="1:12" x14ac:dyDescent="0.3">
      <c r="A104" s="5">
        <v>50</v>
      </c>
      <c r="B104" s="3">
        <v>1.3</v>
      </c>
      <c r="C104" s="2">
        <v>1.1291</v>
      </c>
      <c r="D104" s="5">
        <v>3194.2</v>
      </c>
      <c r="E104" s="2">
        <v>23.209</v>
      </c>
      <c r="F104" s="2">
        <f t="shared" si="22"/>
        <v>358.22310310655348</v>
      </c>
      <c r="G104" s="2">
        <f t="shared" si="23"/>
        <v>1686.1693906769037</v>
      </c>
      <c r="I104" s="6">
        <v>28.928000000000001</v>
      </c>
      <c r="J104" s="2">
        <v>1.1294</v>
      </c>
      <c r="K104" s="2">
        <v>3030.9</v>
      </c>
      <c r="L104" s="2">
        <v>23.443999999999999</v>
      </c>
    </row>
    <row r="105" spans="1:12" x14ac:dyDescent="0.3">
      <c r="A105" s="5">
        <v>60</v>
      </c>
      <c r="B105" s="3">
        <v>1.3</v>
      </c>
      <c r="C105" s="2">
        <v>1.1301000000000001</v>
      </c>
      <c r="D105" s="5">
        <v>3210.6</v>
      </c>
      <c r="E105" s="2">
        <v>23.247</v>
      </c>
      <c r="F105" s="2">
        <f t="shared" si="22"/>
        <v>357.63754462941455</v>
      </c>
      <c r="G105" s="2">
        <f t="shared" si="23"/>
        <v>1688.5651508055253</v>
      </c>
      <c r="I105" s="6">
        <v>34.698</v>
      </c>
      <c r="J105" s="2">
        <v>1.1307</v>
      </c>
      <c r="K105" s="2">
        <v>3044.2</v>
      </c>
      <c r="L105" s="2">
        <v>23.477</v>
      </c>
    </row>
    <row r="106" spans="1:12" x14ac:dyDescent="0.3">
      <c r="A106" s="5">
        <v>70</v>
      </c>
      <c r="B106" s="3">
        <v>1.3</v>
      </c>
      <c r="C106" s="2">
        <v>1.1311</v>
      </c>
      <c r="D106" s="5">
        <v>3224.2</v>
      </c>
      <c r="E106" s="2">
        <v>23.277999999999999</v>
      </c>
      <c r="F106" s="2">
        <f t="shared" si="22"/>
        <v>357.16126815018475</v>
      </c>
      <c r="G106" s="2">
        <f t="shared" si="23"/>
        <v>1690.465468367046</v>
      </c>
      <c r="I106" s="6">
        <v>40.465000000000003</v>
      </c>
      <c r="J106" s="2">
        <v>1.1316999999999999</v>
      </c>
      <c r="K106" s="2">
        <v>3055.1</v>
      </c>
      <c r="L106" s="2">
        <v>23.504999999999999</v>
      </c>
    </row>
    <row r="107" spans="1:12" x14ac:dyDescent="0.3">
      <c r="A107" s="5">
        <v>80</v>
      </c>
      <c r="B107" s="3">
        <v>1.3</v>
      </c>
      <c r="C107" s="2">
        <v>1.1318999999999999</v>
      </c>
      <c r="D107" s="5">
        <v>3236</v>
      </c>
      <c r="E107" s="2">
        <v>23.306000000000001</v>
      </c>
      <c r="F107" s="2">
        <f t="shared" si="22"/>
        <v>356.7321719728825</v>
      </c>
      <c r="G107" s="2">
        <f t="shared" si="23"/>
        <v>1692.1023182324402</v>
      </c>
      <c r="I107" s="6">
        <v>46.23</v>
      </c>
      <c r="J107" s="2">
        <v>1.1327</v>
      </c>
      <c r="K107" s="2">
        <v>3064.5</v>
      </c>
      <c r="L107" s="2">
        <v>23.529</v>
      </c>
    </row>
    <row r="108" spans="1:12" x14ac:dyDescent="0.3">
      <c r="A108" s="5">
        <v>90</v>
      </c>
      <c r="B108" s="3">
        <v>1.3</v>
      </c>
      <c r="C108" s="2">
        <v>1.1326000000000001</v>
      </c>
      <c r="D108" s="5">
        <v>3246.2</v>
      </c>
      <c r="E108" s="2">
        <v>23.329000000000001</v>
      </c>
      <c r="F108" s="2">
        <f t="shared" si="22"/>
        <v>356.38047065883666</v>
      </c>
      <c r="G108" s="2">
        <f t="shared" si="23"/>
        <v>1693.5497769978256</v>
      </c>
      <c r="I108" s="6">
        <v>51.991999999999997</v>
      </c>
      <c r="J108" s="2">
        <v>1.1335999999999999</v>
      </c>
      <c r="K108" s="2">
        <v>3072.6</v>
      </c>
      <c r="L108" s="2">
        <v>23.55</v>
      </c>
    </row>
    <row r="109" spans="1:12" x14ac:dyDescent="0.3">
      <c r="A109" s="5">
        <v>100</v>
      </c>
      <c r="B109" s="3">
        <v>1.4</v>
      </c>
      <c r="C109" s="2">
        <v>1.1332</v>
      </c>
      <c r="D109" s="5">
        <v>3255.3</v>
      </c>
      <c r="E109" s="2">
        <v>23.350999999999999</v>
      </c>
      <c r="F109" s="2">
        <f t="shared" si="22"/>
        <v>356.04470900603832</v>
      </c>
      <c r="G109" s="2">
        <f t="shared" si="23"/>
        <v>1694.7956911658559</v>
      </c>
      <c r="I109" s="6">
        <v>57.753</v>
      </c>
      <c r="J109" s="2">
        <v>1.1343000000000001</v>
      </c>
      <c r="K109" s="2">
        <v>3079.7</v>
      </c>
      <c r="L109" s="2">
        <v>23.568000000000001</v>
      </c>
    </row>
    <row r="110" spans="1:12" x14ac:dyDescent="0.3">
      <c r="A110" s="5">
        <v>10</v>
      </c>
      <c r="B110" s="3">
        <v>1.4</v>
      </c>
      <c r="C110" s="2">
        <v>1.1171</v>
      </c>
      <c r="D110" s="5">
        <v>3068.2</v>
      </c>
      <c r="E110" s="2">
        <v>23.356999999999999</v>
      </c>
      <c r="F110" s="2">
        <f t="shared" si="22"/>
        <v>355.95324742047353</v>
      </c>
      <c r="G110" s="2">
        <f t="shared" si="23"/>
        <v>1653.7732204702495</v>
      </c>
      <c r="I110" s="6">
        <v>5.8160999999999996</v>
      </c>
      <c r="J110" s="2">
        <v>1.1149</v>
      </c>
      <c r="K110" s="2">
        <v>2935.8</v>
      </c>
      <c r="L110" s="2">
        <v>23.645</v>
      </c>
    </row>
    <row r="111" spans="1:12" x14ac:dyDescent="0.3">
      <c r="A111" s="5">
        <v>20</v>
      </c>
      <c r="B111" s="3">
        <v>1.4</v>
      </c>
      <c r="C111" s="2">
        <v>1.1202000000000001</v>
      </c>
      <c r="D111" s="5">
        <v>3138.6</v>
      </c>
      <c r="E111" s="2">
        <v>23.521999999999998</v>
      </c>
      <c r="F111" s="2">
        <f t="shared" si="22"/>
        <v>353.45633874670523</v>
      </c>
      <c r="G111" s="2">
        <f t="shared" si="23"/>
        <v>1665.074511733656</v>
      </c>
      <c r="I111" s="6">
        <v>11.619</v>
      </c>
      <c r="J111" s="2">
        <v>1.1181000000000001</v>
      </c>
      <c r="K111" s="2">
        <v>2997.5</v>
      </c>
      <c r="L111" s="2">
        <v>23.800999999999998</v>
      </c>
    </row>
    <row r="112" spans="1:12" x14ac:dyDescent="0.3">
      <c r="A112" s="5">
        <v>30</v>
      </c>
      <c r="B112" s="3">
        <v>1.4</v>
      </c>
      <c r="C112" s="2">
        <v>1.1221000000000001</v>
      </c>
      <c r="D112" s="5">
        <v>3179.7</v>
      </c>
      <c r="E112" s="2">
        <v>23.619</v>
      </c>
      <c r="F112" s="2">
        <f t="shared" si="22"/>
        <v>352.00474194504426</v>
      </c>
      <c r="G112" s="2">
        <f t="shared" si="23"/>
        <v>1671.4611778940991</v>
      </c>
      <c r="I112" s="6">
        <v>17.416</v>
      </c>
      <c r="J112" s="2">
        <v>1.1201000000000001</v>
      </c>
      <c r="K112" s="2">
        <v>3033.2</v>
      </c>
      <c r="L112" s="2">
        <v>23.893000000000001</v>
      </c>
    </row>
    <row r="113" spans="1:12" x14ac:dyDescent="0.3">
      <c r="A113" s="5">
        <v>40</v>
      </c>
      <c r="B113" s="3">
        <v>1.4</v>
      </c>
      <c r="C113" s="2">
        <v>1.1234</v>
      </c>
      <c r="D113" s="5">
        <v>3208.8</v>
      </c>
      <c r="E113" s="2">
        <v>23.687999999999999</v>
      </c>
      <c r="F113" s="2">
        <f t="shared" si="22"/>
        <v>350.97939885173929</v>
      </c>
      <c r="G113" s="2">
        <f t="shared" si="23"/>
        <v>1675.9362095463036</v>
      </c>
      <c r="I113" s="6">
        <v>23.21</v>
      </c>
      <c r="J113" s="2">
        <v>1.1214</v>
      </c>
      <c r="K113" s="2">
        <v>3058.4</v>
      </c>
      <c r="L113" s="2">
        <v>23.957000000000001</v>
      </c>
    </row>
    <row r="114" spans="1:12" x14ac:dyDescent="0.3">
      <c r="A114" s="5">
        <v>50</v>
      </c>
      <c r="B114" s="3">
        <v>1.4</v>
      </c>
      <c r="C114" s="2">
        <v>1.1244000000000001</v>
      </c>
      <c r="D114" s="5">
        <v>3231.2</v>
      </c>
      <c r="E114" s="2">
        <v>23.741</v>
      </c>
      <c r="F114" s="2">
        <f t="shared" si="22"/>
        <v>350.19586369571624</v>
      </c>
      <c r="G114" s="2">
        <f t="shared" si="23"/>
        <v>1679.3518937383394</v>
      </c>
      <c r="I114" s="6">
        <v>29.001000000000001</v>
      </c>
      <c r="J114" s="2">
        <v>1.1225000000000001</v>
      </c>
      <c r="K114" s="2">
        <v>3077.7</v>
      </c>
      <c r="L114" s="2">
        <v>24.007000000000001</v>
      </c>
    </row>
    <row r="115" spans="1:12" x14ac:dyDescent="0.3">
      <c r="A115" s="5">
        <v>60</v>
      </c>
      <c r="B115" s="3">
        <v>1.4</v>
      </c>
      <c r="C115" s="2">
        <v>1.1252</v>
      </c>
      <c r="D115" s="5">
        <v>3249.5</v>
      </c>
      <c r="E115" s="2">
        <v>23.785</v>
      </c>
      <c r="F115" s="2">
        <f t="shared" si="22"/>
        <v>349.54803447550972</v>
      </c>
      <c r="G115" s="2">
        <f t="shared" si="23"/>
        <v>1682.1055552060675</v>
      </c>
      <c r="I115" s="6">
        <v>34.79</v>
      </c>
      <c r="J115" s="2">
        <v>1.1234</v>
      </c>
      <c r="K115" s="2">
        <v>3093.4</v>
      </c>
      <c r="L115" s="2">
        <v>24.047999999999998</v>
      </c>
    </row>
    <row r="116" spans="1:12" x14ac:dyDescent="0.3">
      <c r="A116" s="5">
        <v>70</v>
      </c>
      <c r="B116" s="3">
        <v>1.4</v>
      </c>
      <c r="C116" s="2">
        <v>1.1259999999999999</v>
      </c>
      <c r="D116" s="5">
        <v>3264.9</v>
      </c>
      <c r="E116" s="2">
        <v>23.821999999999999</v>
      </c>
      <c r="F116" s="2">
        <f t="shared" si="22"/>
        <v>349.00512131643018</v>
      </c>
      <c r="G116" s="2">
        <f t="shared" si="23"/>
        <v>1684.3399258441439</v>
      </c>
      <c r="I116" s="6">
        <v>40.576999999999998</v>
      </c>
      <c r="J116" s="2">
        <v>1.1242000000000001</v>
      </c>
      <c r="K116" s="2">
        <v>3106.6</v>
      </c>
      <c r="L116" s="2">
        <v>24.082000000000001</v>
      </c>
    </row>
    <row r="117" spans="1:12" x14ac:dyDescent="0.3">
      <c r="A117" s="5">
        <v>80</v>
      </c>
      <c r="B117" s="3">
        <v>1.4</v>
      </c>
      <c r="C117" s="2">
        <v>1.1266</v>
      </c>
      <c r="D117" s="5">
        <v>3278.2</v>
      </c>
      <c r="E117" s="2">
        <v>23.853000000000002</v>
      </c>
      <c r="F117" s="2">
        <f t="shared" si="22"/>
        <v>348.55154487905082</v>
      </c>
      <c r="G117" s="2">
        <f t="shared" si="23"/>
        <v>1686.3422260287405</v>
      </c>
      <c r="I117" s="6">
        <v>46.363</v>
      </c>
      <c r="J117" s="2">
        <v>1.1249</v>
      </c>
      <c r="K117" s="2">
        <v>3117.9</v>
      </c>
      <c r="L117" s="2">
        <v>24.111999999999998</v>
      </c>
    </row>
    <row r="118" spans="1:12" x14ac:dyDescent="0.3">
      <c r="A118" s="5">
        <v>90</v>
      </c>
      <c r="B118" s="3">
        <v>1.4</v>
      </c>
      <c r="C118" s="2">
        <v>1.1271</v>
      </c>
      <c r="D118" s="5">
        <v>3289.9</v>
      </c>
      <c r="E118" s="2">
        <v>23.882000000000001</v>
      </c>
      <c r="F118" s="2">
        <f t="shared" si="22"/>
        <v>348.12829746252407</v>
      </c>
      <c r="G118" s="2">
        <f t="shared" si="23"/>
        <v>1688.0495630843743</v>
      </c>
      <c r="I118" s="6">
        <v>52.146999999999998</v>
      </c>
      <c r="J118" s="2">
        <v>1.1254999999999999</v>
      </c>
      <c r="K118" s="2">
        <v>3127.9</v>
      </c>
      <c r="L118" s="2">
        <v>24.138000000000002</v>
      </c>
    </row>
    <row r="119" spans="1:12" x14ac:dyDescent="0.3">
      <c r="A119" s="5">
        <v>100</v>
      </c>
      <c r="B119" s="3">
        <v>1.4</v>
      </c>
      <c r="C119" s="2">
        <v>1.1275999999999999</v>
      </c>
      <c r="D119" s="5">
        <v>3300.2</v>
      </c>
      <c r="E119" s="2">
        <v>23.907</v>
      </c>
      <c r="F119" s="2">
        <f t="shared" si="22"/>
        <v>347.76425314761366</v>
      </c>
      <c r="G119" s="2">
        <f t="shared" si="23"/>
        <v>1689.5323674351707</v>
      </c>
      <c r="I119" s="6">
        <v>57.93</v>
      </c>
      <c r="J119" s="2">
        <v>1.1259999999999999</v>
      </c>
      <c r="K119" s="2">
        <v>3136.7</v>
      </c>
      <c r="L119" s="2">
        <v>24.161000000000001</v>
      </c>
    </row>
    <row r="120" spans="1:12" x14ac:dyDescent="0.3">
      <c r="A120" s="5">
        <v>10</v>
      </c>
      <c r="B120" s="3">
        <v>1.5</v>
      </c>
      <c r="C120" s="2">
        <v>1.1157999999999999</v>
      </c>
      <c r="D120" s="5">
        <v>3077.5</v>
      </c>
      <c r="E120" s="2">
        <v>23.795000000000002</v>
      </c>
      <c r="F120" s="2">
        <f t="shared" si="22"/>
        <v>349.4011346921622</v>
      </c>
      <c r="G120" s="2">
        <f t="shared" si="23"/>
        <v>1641.6619356110336</v>
      </c>
      <c r="I120" s="6">
        <v>5.8197000000000001</v>
      </c>
      <c r="J120" s="2">
        <v>1.1132</v>
      </c>
      <c r="K120" s="2">
        <v>2947.5</v>
      </c>
      <c r="L120" s="2">
        <v>24.093</v>
      </c>
    </row>
    <row r="121" spans="1:12" x14ac:dyDescent="0.3">
      <c r="A121" s="5">
        <v>20</v>
      </c>
      <c r="B121" s="3">
        <v>1.5</v>
      </c>
      <c r="C121" s="2">
        <v>1.1187</v>
      </c>
      <c r="D121" s="5">
        <v>3149.7</v>
      </c>
      <c r="E121" s="2">
        <v>23.966999999999999</v>
      </c>
      <c r="F121" s="2">
        <f t="shared" si="22"/>
        <v>346.89364542913177</v>
      </c>
      <c r="G121" s="2">
        <f t="shared" si="23"/>
        <v>1653.2677964458985</v>
      </c>
      <c r="I121" s="6">
        <v>11.627000000000001</v>
      </c>
      <c r="J121" s="2">
        <v>1.1162000000000001</v>
      </c>
      <c r="K121" s="2">
        <v>3011.4</v>
      </c>
      <c r="L121" s="2">
        <v>24.259</v>
      </c>
    </row>
    <row r="122" spans="1:12" x14ac:dyDescent="0.3">
      <c r="A122" s="5">
        <v>30</v>
      </c>
      <c r="B122" s="3">
        <v>1.5</v>
      </c>
      <c r="C122" s="2">
        <v>1.1204000000000001</v>
      </c>
      <c r="D122" s="5">
        <v>3192.1</v>
      </c>
      <c r="E122" s="2">
        <v>24.068999999999999</v>
      </c>
      <c r="F122" s="2">
        <f t="shared" si="22"/>
        <v>345.42357389172793</v>
      </c>
      <c r="G122" s="2">
        <f t="shared" si="23"/>
        <v>1659.9068070528708</v>
      </c>
      <c r="I122" s="6">
        <v>17.43</v>
      </c>
      <c r="J122" s="2">
        <v>1.1178999999999999</v>
      </c>
      <c r="K122" s="2">
        <v>3048.8</v>
      </c>
      <c r="L122" s="2">
        <v>24.356000000000002</v>
      </c>
    </row>
    <row r="123" spans="1:12" x14ac:dyDescent="0.3">
      <c r="A123" s="5">
        <v>40</v>
      </c>
      <c r="B123" s="3">
        <v>1.5</v>
      </c>
      <c r="C123" s="2">
        <v>1.1216999999999999</v>
      </c>
      <c r="D123" s="5">
        <v>3222.1</v>
      </c>
      <c r="E123" s="2">
        <v>24.141999999999999</v>
      </c>
      <c r="F123" s="2">
        <f t="shared" si="22"/>
        <v>344.37909038190708</v>
      </c>
      <c r="G123" s="2">
        <f t="shared" si="23"/>
        <v>1664.4601759240695</v>
      </c>
      <c r="I123" s="6">
        <v>23.23</v>
      </c>
      <c r="J123" s="2">
        <v>1.1191</v>
      </c>
      <c r="K123" s="2">
        <v>3075.2</v>
      </c>
      <c r="L123" s="2">
        <v>24.425000000000001</v>
      </c>
    </row>
    <row r="124" spans="1:12" x14ac:dyDescent="0.3">
      <c r="A124" s="5">
        <v>50</v>
      </c>
      <c r="B124" s="3">
        <v>1.5</v>
      </c>
      <c r="C124" s="2">
        <v>1.1226</v>
      </c>
      <c r="D124" s="5">
        <v>3245.4</v>
      </c>
      <c r="E124" s="2">
        <v>24.198</v>
      </c>
      <c r="F124" s="2">
        <f t="shared" si="22"/>
        <v>343.58211422431606</v>
      </c>
      <c r="G124" s="2">
        <f t="shared" si="23"/>
        <v>1668.0447604919862</v>
      </c>
      <c r="I124" s="6">
        <v>29.027999999999999</v>
      </c>
      <c r="J124" s="2">
        <v>1.1201000000000001</v>
      </c>
      <c r="K124" s="2">
        <v>3095.6</v>
      </c>
      <c r="L124" s="2">
        <v>24.478999999999999</v>
      </c>
    </row>
    <row r="125" spans="1:12" x14ac:dyDescent="0.3">
      <c r="A125" s="5">
        <v>60</v>
      </c>
      <c r="B125" s="3">
        <v>1.5</v>
      </c>
      <c r="C125" s="2">
        <v>1.1233</v>
      </c>
      <c r="D125" s="5">
        <v>3264.4</v>
      </c>
      <c r="E125" s="2">
        <v>24.245000000000001</v>
      </c>
      <c r="F125" s="2">
        <f t="shared" si="22"/>
        <v>342.91606516807587</v>
      </c>
      <c r="G125" s="2">
        <f t="shared" si="23"/>
        <v>1670.9177108050835</v>
      </c>
      <c r="I125" s="6">
        <v>34.823999999999998</v>
      </c>
      <c r="J125" s="2">
        <v>1.1208</v>
      </c>
      <c r="K125" s="2">
        <v>3112.2</v>
      </c>
      <c r="L125" s="2">
        <v>24.523</v>
      </c>
    </row>
    <row r="126" spans="1:12" x14ac:dyDescent="0.3">
      <c r="A126" s="5">
        <v>70</v>
      </c>
      <c r="B126" s="3">
        <v>1.5</v>
      </c>
      <c r="C126" s="2">
        <v>1.1240000000000001</v>
      </c>
      <c r="D126" s="5">
        <v>3280.5</v>
      </c>
      <c r="E126" s="2">
        <v>24.283999999999999</v>
      </c>
      <c r="F126" s="2">
        <f t="shared" si="22"/>
        <v>342.36534343600727</v>
      </c>
      <c r="G126" s="2">
        <f t="shared" si="23"/>
        <v>1673.3069252051132</v>
      </c>
      <c r="I126" s="6">
        <v>40.618000000000002</v>
      </c>
      <c r="J126" s="2">
        <v>1.1214999999999999</v>
      </c>
      <c r="K126" s="2">
        <v>3126.2</v>
      </c>
      <c r="L126" s="2">
        <v>24.561</v>
      </c>
    </row>
    <row r="127" spans="1:12" x14ac:dyDescent="0.3">
      <c r="A127" s="5">
        <v>80</v>
      </c>
      <c r="B127" s="3">
        <v>1.5</v>
      </c>
      <c r="C127" s="2">
        <v>1.1245000000000001</v>
      </c>
      <c r="D127" s="5">
        <v>3294.4</v>
      </c>
      <c r="E127" s="2">
        <v>24.318000000000001</v>
      </c>
      <c r="F127" s="2">
        <f t="shared" si="22"/>
        <v>341.88666831153876</v>
      </c>
      <c r="G127" s="2">
        <f t="shared" si="23"/>
        <v>1675.4035522883503</v>
      </c>
      <c r="I127" s="6">
        <v>46.411000000000001</v>
      </c>
      <c r="J127" s="2">
        <v>1.1221000000000001</v>
      </c>
      <c r="K127" s="2">
        <v>3138.3</v>
      </c>
      <c r="L127" s="2">
        <v>24.593</v>
      </c>
    </row>
    <row r="128" spans="1:12" x14ac:dyDescent="0.3">
      <c r="A128" s="5">
        <v>90</v>
      </c>
      <c r="B128" s="3">
        <v>1.5</v>
      </c>
      <c r="C128" s="2">
        <v>1.125</v>
      </c>
      <c r="D128" s="5">
        <v>3306.6</v>
      </c>
      <c r="E128" s="2">
        <v>24.347999999999999</v>
      </c>
      <c r="F128" s="2">
        <f t="shared" si="22"/>
        <v>341.46541810415641</v>
      </c>
      <c r="G128" s="2">
        <f t="shared" si="23"/>
        <v>1677.196363773915</v>
      </c>
      <c r="I128" s="6">
        <v>52.203000000000003</v>
      </c>
      <c r="J128" s="2">
        <v>1.1226</v>
      </c>
      <c r="K128" s="2">
        <v>3149</v>
      </c>
      <c r="L128" s="2">
        <v>24.620999999999999</v>
      </c>
    </row>
    <row r="129" spans="1:12" x14ac:dyDescent="0.3">
      <c r="A129" s="5">
        <v>100</v>
      </c>
      <c r="B129" s="3">
        <v>1.5</v>
      </c>
      <c r="C129" s="2">
        <v>1.1254999999999999</v>
      </c>
      <c r="D129" s="5">
        <v>3317.5</v>
      </c>
      <c r="E129" s="2">
        <v>24.375</v>
      </c>
      <c r="F129" s="2">
        <f t="shared" si="22"/>
        <v>341.08717948717947</v>
      </c>
      <c r="G129" s="2">
        <f t="shared" si="23"/>
        <v>1678.7555211418207</v>
      </c>
      <c r="I129" s="6">
        <v>57.994</v>
      </c>
      <c r="J129" s="2">
        <v>1.123</v>
      </c>
      <c r="K129" s="2">
        <v>3158.4</v>
      </c>
      <c r="L129" s="2">
        <v>24.646000000000001</v>
      </c>
    </row>
    <row r="130" spans="1:12" x14ac:dyDescent="0.3">
      <c r="A130" s="5">
        <v>10</v>
      </c>
      <c r="B130" s="3">
        <v>1.6</v>
      </c>
      <c r="C130" s="2">
        <v>1.1153999999999999</v>
      </c>
      <c r="D130" s="5">
        <v>3077.7</v>
      </c>
      <c r="E130" s="2">
        <v>24.19</v>
      </c>
      <c r="F130" s="2">
        <f t="shared" si="22"/>
        <v>343.69574204216616</v>
      </c>
      <c r="G130" s="2">
        <f t="shared" si="23"/>
        <v>1628.4697895563033</v>
      </c>
      <c r="I130" s="6">
        <v>5.8205999999999998</v>
      </c>
      <c r="J130" s="2">
        <v>1.1128</v>
      </c>
      <c r="K130" s="2">
        <v>2948.3</v>
      </c>
      <c r="L130" s="2">
        <v>24.494</v>
      </c>
    </row>
    <row r="131" spans="1:12" x14ac:dyDescent="0.3">
      <c r="A131" s="5">
        <v>20</v>
      </c>
      <c r="B131" s="3">
        <v>1.6</v>
      </c>
      <c r="C131" s="2">
        <v>1.1183000000000001</v>
      </c>
      <c r="D131" s="5">
        <v>3150.1</v>
      </c>
      <c r="E131" s="2">
        <v>24.366</v>
      </c>
      <c r="F131" s="2">
        <f t="shared" si="22"/>
        <v>341.2131658868916</v>
      </c>
      <c r="G131" s="2">
        <f t="shared" si="23"/>
        <v>1639.9940132031663</v>
      </c>
      <c r="I131" s="6">
        <v>11.629</v>
      </c>
      <c r="J131" s="2">
        <v>1.1156999999999999</v>
      </c>
      <c r="K131" s="2">
        <v>3012.6</v>
      </c>
      <c r="L131" s="2">
        <v>24.663</v>
      </c>
    </row>
    <row r="132" spans="1:12" x14ac:dyDescent="0.3">
      <c r="A132" s="5">
        <v>30</v>
      </c>
      <c r="B132" s="3">
        <v>1.6</v>
      </c>
      <c r="C132" s="2">
        <v>1.1200000000000001</v>
      </c>
      <c r="D132" s="5">
        <v>3192.6</v>
      </c>
      <c r="E132" s="2">
        <v>24.47</v>
      </c>
      <c r="F132" s="2">
        <f t="shared" si="22"/>
        <v>339.76297507151617</v>
      </c>
      <c r="G132" s="2">
        <f t="shared" si="23"/>
        <v>1646.5935576980326</v>
      </c>
      <c r="I132" s="6">
        <v>17.433</v>
      </c>
      <c r="J132" s="2">
        <v>1.1173999999999999</v>
      </c>
      <c r="K132" s="2">
        <v>3050.1</v>
      </c>
      <c r="L132" s="2">
        <v>24.763000000000002</v>
      </c>
    </row>
    <row r="133" spans="1:12" x14ac:dyDescent="0.3">
      <c r="A133" s="5">
        <v>40</v>
      </c>
      <c r="B133" s="3">
        <v>1.6</v>
      </c>
      <c r="C133" s="2">
        <v>1.1212</v>
      </c>
      <c r="D133" s="5">
        <v>3222.8</v>
      </c>
      <c r="E133" s="2">
        <v>24.544</v>
      </c>
      <c r="F133" s="2">
        <f t="shared" si="22"/>
        <v>338.73859191655805</v>
      </c>
      <c r="G133" s="2">
        <f t="shared" si="23"/>
        <v>1651.2211907026615</v>
      </c>
      <c r="I133" s="6">
        <v>23.234999999999999</v>
      </c>
      <c r="J133" s="2">
        <v>1.1186</v>
      </c>
      <c r="K133" s="2">
        <v>3076.7</v>
      </c>
      <c r="L133" s="2">
        <v>24.834</v>
      </c>
    </row>
    <row r="134" spans="1:12" x14ac:dyDescent="0.3">
      <c r="A134" s="5">
        <v>50</v>
      </c>
      <c r="B134" s="3">
        <v>1.6</v>
      </c>
      <c r="C134" s="2">
        <v>1.1221000000000001</v>
      </c>
      <c r="D134" s="5">
        <v>3246.2</v>
      </c>
      <c r="E134" s="2">
        <v>24.602</v>
      </c>
      <c r="F134" s="2">
        <f t="shared" si="22"/>
        <v>337.94000487765226</v>
      </c>
      <c r="G134" s="2">
        <f t="shared" si="23"/>
        <v>1654.7652920783059</v>
      </c>
      <c r="I134" s="6">
        <v>29.033999999999999</v>
      </c>
      <c r="J134" s="2">
        <v>1.1194999999999999</v>
      </c>
      <c r="K134" s="2">
        <v>3097.2</v>
      </c>
      <c r="L134" s="2">
        <v>24.888999999999999</v>
      </c>
    </row>
    <row r="135" spans="1:12" x14ac:dyDescent="0.3">
      <c r="A135" s="5">
        <v>60</v>
      </c>
      <c r="B135" s="3">
        <v>1.6</v>
      </c>
      <c r="C135" s="2">
        <v>1.1228</v>
      </c>
      <c r="D135" s="5">
        <v>3265.3</v>
      </c>
      <c r="E135" s="2">
        <v>24.65</v>
      </c>
      <c r="F135" s="2">
        <f t="shared" ref="F135:F179" si="24">8.314/E135*1000</f>
        <v>337.28194726166333</v>
      </c>
      <c r="G135" s="2">
        <f t="shared" ref="G135:G179" si="25">SQRT(F135*D135/C135*((C135+1)/2)^((C135+1)/(C135-1)))</f>
        <v>1657.6321171336524</v>
      </c>
      <c r="I135" s="6">
        <v>34.831000000000003</v>
      </c>
      <c r="J135" s="2">
        <v>1.1203000000000001</v>
      </c>
      <c r="K135" s="2">
        <v>3114</v>
      </c>
      <c r="L135" s="2">
        <v>24.934000000000001</v>
      </c>
    </row>
    <row r="136" spans="1:12" x14ac:dyDescent="0.3">
      <c r="A136" s="5">
        <v>70</v>
      </c>
      <c r="B136" s="3">
        <v>1.6</v>
      </c>
      <c r="C136" s="2">
        <v>1.1234999999999999</v>
      </c>
      <c r="D136" s="5">
        <v>3281.4</v>
      </c>
      <c r="E136" s="2">
        <v>24.69</v>
      </c>
      <c r="F136" s="2">
        <f t="shared" si="24"/>
        <v>336.73552045362493</v>
      </c>
      <c r="G136" s="2">
        <f t="shared" si="25"/>
        <v>1659.9892875170435</v>
      </c>
      <c r="I136" s="6">
        <v>40.627000000000002</v>
      </c>
      <c r="J136" s="2">
        <v>1.1209</v>
      </c>
      <c r="K136" s="2">
        <v>3128.1</v>
      </c>
      <c r="L136" s="2">
        <v>24.972000000000001</v>
      </c>
    </row>
    <row r="137" spans="1:12" x14ac:dyDescent="0.3">
      <c r="A137" s="5">
        <v>80</v>
      </c>
      <c r="B137" s="3">
        <v>1.6</v>
      </c>
      <c r="C137" s="2">
        <v>1.1240000000000001</v>
      </c>
      <c r="D137" s="5">
        <v>3295.4</v>
      </c>
      <c r="E137" s="2">
        <v>24.725000000000001</v>
      </c>
      <c r="F137" s="2">
        <f t="shared" si="24"/>
        <v>336.25884732052572</v>
      </c>
      <c r="G137" s="2">
        <f t="shared" si="25"/>
        <v>1662.0788305738477</v>
      </c>
      <c r="I137" s="6">
        <v>46.420999999999999</v>
      </c>
      <c r="J137" s="2">
        <v>1.1214999999999999</v>
      </c>
      <c r="K137" s="2">
        <v>3140.3</v>
      </c>
      <c r="L137" s="2">
        <v>25.004999999999999</v>
      </c>
    </row>
    <row r="138" spans="1:12" x14ac:dyDescent="0.3">
      <c r="A138" s="5">
        <v>90</v>
      </c>
      <c r="B138" s="3">
        <v>1.6</v>
      </c>
      <c r="C138" s="2">
        <v>1.1245000000000001</v>
      </c>
      <c r="D138" s="5">
        <v>3307.7</v>
      </c>
      <c r="E138" s="2">
        <v>24.756</v>
      </c>
      <c r="F138" s="2">
        <f t="shared" si="24"/>
        <v>335.83777670059783</v>
      </c>
      <c r="G138" s="2">
        <f t="shared" si="25"/>
        <v>1663.8647228937127</v>
      </c>
      <c r="I138" s="6">
        <v>52.215000000000003</v>
      </c>
      <c r="J138" s="2">
        <v>1.1220000000000001</v>
      </c>
      <c r="K138" s="2">
        <v>3151</v>
      </c>
      <c r="L138" s="2">
        <v>25.033999999999999</v>
      </c>
    </row>
    <row r="139" spans="1:12" x14ac:dyDescent="0.3">
      <c r="A139" s="5">
        <v>100</v>
      </c>
      <c r="B139" s="3">
        <v>1.6</v>
      </c>
      <c r="C139" s="2">
        <v>1.1249</v>
      </c>
      <c r="D139" s="5">
        <v>3318.6</v>
      </c>
      <c r="E139" s="2">
        <v>24.783000000000001</v>
      </c>
      <c r="F139" s="2">
        <f t="shared" si="24"/>
        <v>335.47189605778152</v>
      </c>
      <c r="G139" s="2">
        <f t="shared" si="25"/>
        <v>1665.4796638420021</v>
      </c>
      <c r="I139" s="6">
        <v>58.006999999999998</v>
      </c>
      <c r="J139" s="2">
        <v>1.1224000000000001</v>
      </c>
      <c r="K139" s="2">
        <v>3160.6</v>
      </c>
      <c r="L139" s="2">
        <v>25.06</v>
      </c>
    </row>
    <row r="140" spans="1:12" x14ac:dyDescent="0.3">
      <c r="A140" s="5">
        <v>10</v>
      </c>
      <c r="B140" s="3">
        <v>1.7</v>
      </c>
      <c r="C140" s="2">
        <v>1.1154999999999999</v>
      </c>
      <c r="D140" s="5">
        <v>3072.1</v>
      </c>
      <c r="E140" s="2">
        <v>24.553000000000001</v>
      </c>
      <c r="F140" s="2">
        <f t="shared" si="24"/>
        <v>338.61442593573088</v>
      </c>
      <c r="G140" s="2">
        <f t="shared" si="25"/>
        <v>1614.8628791857748</v>
      </c>
      <c r="I140" s="6">
        <v>5.8201999999999998</v>
      </c>
      <c r="J140" s="2">
        <v>1.113</v>
      </c>
      <c r="K140" s="2">
        <v>2942.5</v>
      </c>
      <c r="L140" s="2">
        <v>24.859000000000002</v>
      </c>
    </row>
    <row r="141" spans="1:12" x14ac:dyDescent="0.3">
      <c r="A141" s="5">
        <v>20</v>
      </c>
      <c r="B141" s="3">
        <v>1.7</v>
      </c>
      <c r="C141" s="2">
        <v>1.1184000000000001</v>
      </c>
      <c r="D141" s="5">
        <v>3143.7</v>
      </c>
      <c r="E141" s="2">
        <v>24.728999999999999</v>
      </c>
      <c r="F141" s="2">
        <f t="shared" si="24"/>
        <v>336.20445630636095</v>
      </c>
      <c r="G141" s="2">
        <f t="shared" si="25"/>
        <v>1626.2049899528974</v>
      </c>
      <c r="I141" s="6">
        <v>11.628</v>
      </c>
      <c r="J141" s="2">
        <v>1.1158999999999999</v>
      </c>
      <c r="K141" s="2">
        <v>3006</v>
      </c>
      <c r="L141" s="2">
        <v>25.029</v>
      </c>
    </row>
    <row r="142" spans="1:12" x14ac:dyDescent="0.3">
      <c r="A142" s="5">
        <v>30</v>
      </c>
      <c r="B142" s="3">
        <v>1.7</v>
      </c>
      <c r="C142" s="2">
        <v>1.1201000000000001</v>
      </c>
      <c r="D142" s="5">
        <v>3185.8</v>
      </c>
      <c r="E142" s="2">
        <v>24.832999999999998</v>
      </c>
      <c r="F142" s="2">
        <f t="shared" si="24"/>
        <v>334.79644022067413</v>
      </c>
      <c r="G142" s="2">
        <f t="shared" si="25"/>
        <v>1632.7197084265586</v>
      </c>
      <c r="I142" s="6">
        <v>17.431999999999999</v>
      </c>
      <c r="J142" s="2">
        <v>1.1175999999999999</v>
      </c>
      <c r="K142" s="2">
        <v>3043</v>
      </c>
      <c r="L142" s="2">
        <v>25.128</v>
      </c>
    </row>
    <row r="143" spans="1:12" x14ac:dyDescent="0.3">
      <c r="A143" s="5">
        <v>40</v>
      </c>
      <c r="B143" s="3">
        <v>1.7</v>
      </c>
      <c r="C143" s="2">
        <v>1.1213</v>
      </c>
      <c r="D143" s="5">
        <v>3215.6</v>
      </c>
      <c r="E143" s="2">
        <v>24.908000000000001</v>
      </c>
      <c r="F143" s="2">
        <f t="shared" si="24"/>
        <v>333.78834109523041</v>
      </c>
      <c r="G143" s="2">
        <f t="shared" si="25"/>
        <v>1637.2261808057387</v>
      </c>
      <c r="I143" s="6">
        <v>23.231999999999999</v>
      </c>
      <c r="J143" s="2">
        <v>1.1189</v>
      </c>
      <c r="K143" s="2">
        <v>3069.1</v>
      </c>
      <c r="L143" s="2">
        <v>25.199000000000002</v>
      </c>
    </row>
    <row r="144" spans="1:12" x14ac:dyDescent="0.3">
      <c r="A144" s="5">
        <v>50</v>
      </c>
      <c r="B144" s="3">
        <v>1.7</v>
      </c>
      <c r="C144" s="2">
        <v>1.1223000000000001</v>
      </c>
      <c r="D144" s="5">
        <v>3238.7</v>
      </c>
      <c r="E144" s="2">
        <v>24.966000000000001</v>
      </c>
      <c r="F144" s="2">
        <f t="shared" si="24"/>
        <v>333.01289754065527</v>
      </c>
      <c r="G144" s="2">
        <f t="shared" si="25"/>
        <v>1640.6524268999669</v>
      </c>
      <c r="I144" s="6">
        <v>29.03</v>
      </c>
      <c r="J144" s="2">
        <v>1.1197999999999999</v>
      </c>
      <c r="K144" s="2">
        <v>3089.3</v>
      </c>
      <c r="L144" s="2">
        <v>25.254000000000001</v>
      </c>
    </row>
    <row r="145" spans="1:12" x14ac:dyDescent="0.3">
      <c r="A145" s="5">
        <v>60</v>
      </c>
      <c r="B145" s="3">
        <v>1.7</v>
      </c>
      <c r="C145" s="2">
        <v>1.123</v>
      </c>
      <c r="D145" s="5">
        <v>3257.5</v>
      </c>
      <c r="E145" s="2">
        <v>25.013000000000002</v>
      </c>
      <c r="F145" s="2">
        <f t="shared" si="24"/>
        <v>332.38715867748772</v>
      </c>
      <c r="G145" s="2">
        <f t="shared" si="25"/>
        <v>1643.4865225226099</v>
      </c>
      <c r="I145" s="6">
        <v>34.826000000000001</v>
      </c>
      <c r="J145" s="2">
        <v>1.1206</v>
      </c>
      <c r="K145" s="2">
        <v>3105.8</v>
      </c>
      <c r="L145" s="2">
        <v>25.298999999999999</v>
      </c>
    </row>
    <row r="146" spans="1:12" x14ac:dyDescent="0.3">
      <c r="A146" s="5">
        <v>70</v>
      </c>
      <c r="B146" s="3">
        <v>1.7</v>
      </c>
      <c r="C146" s="2">
        <v>1.1236999999999999</v>
      </c>
      <c r="D146" s="5">
        <v>3273.4</v>
      </c>
      <c r="E146" s="2">
        <v>25.053000000000001</v>
      </c>
      <c r="F146" s="2">
        <f t="shared" si="24"/>
        <v>331.85646429569312</v>
      </c>
      <c r="G146" s="2">
        <f t="shared" si="25"/>
        <v>1645.8023991025782</v>
      </c>
      <c r="I146" s="6">
        <v>40.621000000000002</v>
      </c>
      <c r="J146" s="2">
        <v>1.1213</v>
      </c>
      <c r="K146" s="2">
        <v>3119.6</v>
      </c>
      <c r="L146" s="2">
        <v>25.337</v>
      </c>
    </row>
    <row r="147" spans="1:12" x14ac:dyDescent="0.3">
      <c r="A147" s="5">
        <v>80</v>
      </c>
      <c r="B147" s="3">
        <v>1.7</v>
      </c>
      <c r="C147" s="2">
        <v>1.1242000000000001</v>
      </c>
      <c r="D147" s="5">
        <v>3287.2</v>
      </c>
      <c r="E147" s="2">
        <v>25.088000000000001</v>
      </c>
      <c r="F147" s="2">
        <f t="shared" si="24"/>
        <v>331.39349489795916</v>
      </c>
      <c r="G147" s="2">
        <f t="shared" si="25"/>
        <v>1647.8494690759346</v>
      </c>
      <c r="I147" s="6">
        <v>46.414000000000001</v>
      </c>
      <c r="J147" s="2">
        <v>1.1218999999999999</v>
      </c>
      <c r="K147" s="2">
        <v>3131.6</v>
      </c>
      <c r="L147" s="2">
        <v>25.369</v>
      </c>
    </row>
    <row r="148" spans="1:12" x14ac:dyDescent="0.3">
      <c r="A148" s="5">
        <v>90</v>
      </c>
      <c r="B148" s="3">
        <v>1.7</v>
      </c>
      <c r="C148" s="2">
        <v>1.1247</v>
      </c>
      <c r="D148" s="5">
        <v>3299.3</v>
      </c>
      <c r="E148" s="2">
        <v>25.119</v>
      </c>
      <c r="F148" s="2">
        <f t="shared" si="24"/>
        <v>330.98451371471793</v>
      </c>
      <c r="G148" s="2">
        <f t="shared" si="25"/>
        <v>1649.5927291106607</v>
      </c>
      <c r="I148" s="6">
        <v>52.206000000000003</v>
      </c>
      <c r="J148" s="2">
        <v>1.1224000000000001</v>
      </c>
      <c r="K148" s="2">
        <v>3142.1</v>
      </c>
      <c r="L148" s="2">
        <v>25.398</v>
      </c>
    </row>
    <row r="149" spans="1:12" x14ac:dyDescent="0.3">
      <c r="A149" s="5">
        <v>100</v>
      </c>
      <c r="B149" s="3">
        <v>1.7</v>
      </c>
      <c r="C149" s="2">
        <v>1.1252</v>
      </c>
      <c r="D149" s="5">
        <v>3310.1</v>
      </c>
      <c r="E149" s="2">
        <v>25.146999999999998</v>
      </c>
      <c r="F149" s="2">
        <f t="shared" si="24"/>
        <v>330.61597804907149</v>
      </c>
      <c r="G149" s="2">
        <f t="shared" si="25"/>
        <v>1651.1024375220277</v>
      </c>
      <c r="I149" s="6">
        <v>57.997999999999998</v>
      </c>
      <c r="J149" s="2">
        <v>1.1228</v>
      </c>
      <c r="K149" s="2">
        <v>3151.5</v>
      </c>
      <c r="L149" s="2">
        <v>25.423999999999999</v>
      </c>
    </row>
    <row r="150" spans="1:12" x14ac:dyDescent="0.3">
      <c r="A150" s="5">
        <v>10</v>
      </c>
      <c r="B150" s="3">
        <v>1.8</v>
      </c>
      <c r="C150" s="2">
        <v>1.1158999999999999</v>
      </c>
      <c r="D150" s="5">
        <v>3062.5</v>
      </c>
      <c r="E150" s="2">
        <v>24.888000000000002</v>
      </c>
      <c r="F150" s="2">
        <f t="shared" si="24"/>
        <v>334.05657344905171</v>
      </c>
      <c r="G150" s="2">
        <f t="shared" si="25"/>
        <v>1601.2397747589719</v>
      </c>
      <c r="I150" s="6">
        <v>5.819</v>
      </c>
      <c r="J150" s="2">
        <v>1.1134999999999999</v>
      </c>
      <c r="K150" s="2">
        <v>2932.3</v>
      </c>
      <c r="L150" s="2">
        <v>25.195</v>
      </c>
    </row>
    <row r="151" spans="1:12" x14ac:dyDescent="0.3">
      <c r="A151" s="5">
        <v>20</v>
      </c>
      <c r="B151" s="3">
        <v>1.8</v>
      </c>
      <c r="C151" s="2">
        <v>1.1189</v>
      </c>
      <c r="D151" s="5">
        <v>3132.9</v>
      </c>
      <c r="E151" s="2">
        <v>25.062999999999999</v>
      </c>
      <c r="F151" s="2">
        <f t="shared" si="24"/>
        <v>331.72405538044131</v>
      </c>
      <c r="G151" s="2">
        <f t="shared" si="25"/>
        <v>1612.2924346968598</v>
      </c>
      <c r="I151" s="6">
        <v>11.625</v>
      </c>
      <c r="J151" s="2">
        <v>1.1166</v>
      </c>
      <c r="K151" s="2">
        <v>2994.3</v>
      </c>
      <c r="L151" s="2">
        <v>25.361999999999998</v>
      </c>
    </row>
    <row r="152" spans="1:12" x14ac:dyDescent="0.3">
      <c r="A152" s="5">
        <v>30</v>
      </c>
      <c r="B152" s="3">
        <v>1.8</v>
      </c>
      <c r="C152" s="2">
        <v>1.1206</v>
      </c>
      <c r="D152" s="5">
        <v>3174.1</v>
      </c>
      <c r="E152" s="2">
        <v>25.166</v>
      </c>
      <c r="F152" s="2">
        <f t="shared" si="24"/>
        <v>330.36636732098862</v>
      </c>
      <c r="G152" s="2">
        <f t="shared" si="25"/>
        <v>1618.6366614792541</v>
      </c>
      <c r="I152" s="6">
        <v>17.427</v>
      </c>
      <c r="J152" s="2">
        <v>1.1184000000000001</v>
      </c>
      <c r="K152" s="2">
        <v>3030.4</v>
      </c>
      <c r="L152" s="2">
        <v>25.46</v>
      </c>
    </row>
    <row r="153" spans="1:12" x14ac:dyDescent="0.3">
      <c r="A153" s="5">
        <v>40</v>
      </c>
      <c r="B153" s="3">
        <v>1.8</v>
      </c>
      <c r="C153" s="2">
        <v>1.1218999999999999</v>
      </c>
      <c r="D153" s="5">
        <v>3203.3</v>
      </c>
      <c r="E153" s="2">
        <v>25.24</v>
      </c>
      <c r="F153" s="2">
        <f t="shared" si="24"/>
        <v>329.39778129952458</v>
      </c>
      <c r="G153" s="2">
        <f t="shared" si="25"/>
        <v>1622.9919929446448</v>
      </c>
      <c r="I153" s="6">
        <v>23.225000000000001</v>
      </c>
      <c r="J153" s="2">
        <v>1.1196999999999999</v>
      </c>
      <c r="K153" s="2">
        <v>3055.8</v>
      </c>
      <c r="L153" s="2">
        <v>25.529</v>
      </c>
    </row>
    <row r="154" spans="1:12" x14ac:dyDescent="0.3">
      <c r="A154" s="5">
        <v>50</v>
      </c>
      <c r="B154" s="3">
        <v>1.8</v>
      </c>
      <c r="C154" s="2">
        <v>1.1228</v>
      </c>
      <c r="D154" s="5">
        <v>3225.8</v>
      </c>
      <c r="E154" s="2">
        <v>25.297000000000001</v>
      </c>
      <c r="F154" s="2">
        <f t="shared" si="24"/>
        <v>328.65557180693361</v>
      </c>
      <c r="G154" s="2">
        <f t="shared" si="25"/>
        <v>1626.3697156853477</v>
      </c>
      <c r="I154" s="6">
        <v>29.021000000000001</v>
      </c>
      <c r="J154" s="2">
        <v>1.1207</v>
      </c>
      <c r="K154" s="2">
        <v>3075.4</v>
      </c>
      <c r="L154" s="2">
        <v>25.582999999999998</v>
      </c>
    </row>
    <row r="155" spans="1:12" x14ac:dyDescent="0.3">
      <c r="A155" s="5">
        <v>60</v>
      </c>
      <c r="B155" s="3">
        <v>1.8</v>
      </c>
      <c r="C155" s="2">
        <v>1.1235999999999999</v>
      </c>
      <c r="D155" s="5">
        <v>3244.2</v>
      </c>
      <c r="E155" s="2">
        <v>25.344000000000001</v>
      </c>
      <c r="F155" s="2">
        <f t="shared" si="24"/>
        <v>328.04608585858585</v>
      </c>
      <c r="G155" s="2">
        <f t="shared" si="25"/>
        <v>1629.0648068850244</v>
      </c>
      <c r="I155" s="6">
        <v>34.814999999999998</v>
      </c>
      <c r="J155" s="2">
        <v>1.1214999999999999</v>
      </c>
      <c r="K155" s="2">
        <v>3091.3</v>
      </c>
      <c r="L155" s="2">
        <v>25.626999999999999</v>
      </c>
    </row>
    <row r="156" spans="1:12" x14ac:dyDescent="0.3">
      <c r="A156" s="5">
        <v>70</v>
      </c>
      <c r="B156" s="3">
        <v>1.8</v>
      </c>
      <c r="C156" s="2">
        <v>1.1243000000000001</v>
      </c>
      <c r="D156" s="5">
        <v>3259.7</v>
      </c>
      <c r="E156" s="2">
        <v>25.382999999999999</v>
      </c>
      <c r="F156" s="2">
        <f t="shared" si="24"/>
        <v>327.5420557065753</v>
      </c>
      <c r="G156" s="2">
        <f t="shared" si="25"/>
        <v>1631.3259064606325</v>
      </c>
      <c r="I156" s="6">
        <v>40.606999999999999</v>
      </c>
      <c r="J156" s="2">
        <v>1.1222000000000001</v>
      </c>
      <c r="K156" s="2">
        <v>3104.8</v>
      </c>
      <c r="L156" s="2">
        <v>25.664000000000001</v>
      </c>
    </row>
    <row r="157" spans="1:12" x14ac:dyDescent="0.3">
      <c r="A157" s="5">
        <v>80</v>
      </c>
      <c r="B157" s="3">
        <v>1.8</v>
      </c>
      <c r="C157" s="2">
        <v>1.1249</v>
      </c>
      <c r="D157" s="5">
        <v>3273.1</v>
      </c>
      <c r="E157" s="2">
        <v>25.417000000000002</v>
      </c>
      <c r="F157" s="2">
        <f t="shared" si="24"/>
        <v>327.10390683400868</v>
      </c>
      <c r="G157" s="2">
        <f t="shared" si="25"/>
        <v>1633.2637036529072</v>
      </c>
      <c r="I157" s="6">
        <v>46.398000000000003</v>
      </c>
      <c r="J157" s="2">
        <v>1.1228</v>
      </c>
      <c r="K157" s="2">
        <v>3116.3</v>
      </c>
      <c r="L157" s="2">
        <v>25.696000000000002</v>
      </c>
    </row>
    <row r="158" spans="1:12" x14ac:dyDescent="0.3">
      <c r="A158" s="5">
        <v>90</v>
      </c>
      <c r="B158" s="3">
        <v>1.8</v>
      </c>
      <c r="C158" s="2">
        <v>1.1254</v>
      </c>
      <c r="D158" s="5">
        <v>3284.9</v>
      </c>
      <c r="E158" s="2">
        <v>25.448</v>
      </c>
      <c r="F158" s="2">
        <f t="shared" si="24"/>
        <v>326.70543854133922</v>
      </c>
      <c r="G158" s="2">
        <f t="shared" si="25"/>
        <v>1634.9430571286543</v>
      </c>
      <c r="I158" s="6">
        <v>52.188000000000002</v>
      </c>
      <c r="J158" s="2">
        <v>1.1234</v>
      </c>
      <c r="K158" s="2">
        <v>3126.5</v>
      </c>
      <c r="L158" s="2">
        <v>25.725000000000001</v>
      </c>
    </row>
    <row r="159" spans="1:12" x14ac:dyDescent="0.3">
      <c r="A159" s="5">
        <v>100</v>
      </c>
      <c r="B159" s="3">
        <v>1.8</v>
      </c>
      <c r="C159" s="2">
        <v>1.1257999999999999</v>
      </c>
      <c r="D159" s="5">
        <v>3295.4</v>
      </c>
      <c r="E159" s="2">
        <v>25.475000000000001</v>
      </c>
      <c r="F159" s="2">
        <f t="shared" si="24"/>
        <v>326.35917566241415</v>
      </c>
      <c r="G159" s="2">
        <f t="shared" si="25"/>
        <v>1636.4737177468537</v>
      </c>
      <c r="I159" s="6">
        <v>57.975999999999999</v>
      </c>
      <c r="J159" s="2">
        <v>1.1237999999999999</v>
      </c>
      <c r="K159" s="2">
        <v>3135.5</v>
      </c>
      <c r="L159" s="2">
        <v>25.75</v>
      </c>
    </row>
    <row r="160" spans="1:12" x14ac:dyDescent="0.3">
      <c r="A160" s="5">
        <v>10</v>
      </c>
      <c r="B160" s="3">
        <v>1.9</v>
      </c>
      <c r="C160" s="2">
        <v>1.1164000000000001</v>
      </c>
      <c r="D160" s="5">
        <v>3050.2</v>
      </c>
      <c r="E160" s="2">
        <v>25.199000000000002</v>
      </c>
      <c r="F160" s="2">
        <f t="shared" si="24"/>
        <v>329.93372752887018</v>
      </c>
      <c r="G160" s="2">
        <f t="shared" si="25"/>
        <v>1587.8690584155208</v>
      </c>
      <c r="I160" s="6">
        <v>5.8173000000000004</v>
      </c>
      <c r="J160" s="2">
        <v>1.1143000000000001</v>
      </c>
      <c r="K160" s="2">
        <v>2919</v>
      </c>
      <c r="L160" s="2">
        <v>25.504999999999999</v>
      </c>
    </row>
    <row r="161" spans="1:12" x14ac:dyDescent="0.3">
      <c r="A161" s="5">
        <v>20</v>
      </c>
      <c r="B161" s="3">
        <v>1.9</v>
      </c>
      <c r="C161" s="2">
        <v>1.1194999999999999</v>
      </c>
      <c r="D161" s="5">
        <v>3119</v>
      </c>
      <c r="E161" s="2">
        <v>25.370999999999999</v>
      </c>
      <c r="F161" s="2">
        <f t="shared" si="24"/>
        <v>327.69697686334791</v>
      </c>
      <c r="G161" s="2">
        <f t="shared" si="25"/>
        <v>1598.6039901996246</v>
      </c>
      <c r="I161" s="6">
        <v>11.621</v>
      </c>
      <c r="J161" s="2">
        <v>1.1174999999999999</v>
      </c>
      <c r="K161" s="2">
        <v>2979.2</v>
      </c>
      <c r="L161" s="2">
        <v>25.669</v>
      </c>
    </row>
    <row r="162" spans="1:12" x14ac:dyDescent="0.3">
      <c r="A162" s="5">
        <v>30</v>
      </c>
      <c r="B162" s="3">
        <v>1.9</v>
      </c>
      <c r="C162" s="2">
        <v>1.1213</v>
      </c>
      <c r="D162" s="5">
        <v>3159.1</v>
      </c>
      <c r="E162" s="2">
        <v>25.472999999999999</v>
      </c>
      <c r="F162" s="2">
        <f t="shared" si="24"/>
        <v>326.38479959172457</v>
      </c>
      <c r="G162" s="2">
        <f t="shared" si="25"/>
        <v>1604.6811029598575</v>
      </c>
      <c r="I162" s="6">
        <v>17.420000000000002</v>
      </c>
      <c r="J162" s="2">
        <v>1.1194</v>
      </c>
      <c r="K162" s="2">
        <v>3014.1</v>
      </c>
      <c r="L162" s="2">
        <v>25.763999999999999</v>
      </c>
    </row>
    <row r="163" spans="1:12" x14ac:dyDescent="0.3">
      <c r="A163" s="5">
        <v>40</v>
      </c>
      <c r="B163" s="3">
        <v>1.9</v>
      </c>
      <c r="C163" s="2">
        <v>1.1226</v>
      </c>
      <c r="D163" s="5">
        <v>3187.4</v>
      </c>
      <c r="E163" s="2">
        <v>25.545000000000002</v>
      </c>
      <c r="F163" s="2">
        <f t="shared" si="24"/>
        <v>325.46486592288113</v>
      </c>
      <c r="G163" s="2">
        <f t="shared" si="25"/>
        <v>1608.8985166870673</v>
      </c>
      <c r="I163" s="6">
        <v>23.216000000000001</v>
      </c>
      <c r="J163" s="2">
        <v>1.1208</v>
      </c>
      <c r="K163" s="2">
        <v>3038.6</v>
      </c>
      <c r="L163" s="2">
        <v>25.832000000000001</v>
      </c>
    </row>
    <row r="164" spans="1:12" x14ac:dyDescent="0.3">
      <c r="A164" s="5">
        <v>50</v>
      </c>
      <c r="B164" s="3">
        <v>1.9</v>
      </c>
      <c r="C164" s="2">
        <v>1.1235999999999999</v>
      </c>
      <c r="D164" s="5">
        <v>3209.3</v>
      </c>
      <c r="E164" s="2">
        <v>25.600999999999999</v>
      </c>
      <c r="F164" s="2">
        <f t="shared" si="24"/>
        <v>324.7529393383071</v>
      </c>
      <c r="G164" s="2">
        <f t="shared" si="25"/>
        <v>1612.1254157007315</v>
      </c>
      <c r="I164" s="6">
        <v>29.009</v>
      </c>
      <c r="J164" s="2">
        <v>1.1217999999999999</v>
      </c>
      <c r="K164" s="2">
        <v>3057.5</v>
      </c>
      <c r="L164" s="2">
        <v>25.884</v>
      </c>
    </row>
    <row r="165" spans="1:12" x14ac:dyDescent="0.3">
      <c r="A165" s="5">
        <v>60</v>
      </c>
      <c r="B165" s="3">
        <v>1.9</v>
      </c>
      <c r="C165" s="2">
        <v>1.1245000000000001</v>
      </c>
      <c r="D165" s="5">
        <v>3227.1</v>
      </c>
      <c r="E165" s="2">
        <v>25.646999999999998</v>
      </c>
      <c r="F165" s="2">
        <f t="shared" si="24"/>
        <v>324.17046828089059</v>
      </c>
      <c r="G165" s="2">
        <f t="shared" si="25"/>
        <v>1614.6675603408394</v>
      </c>
      <c r="I165" s="6">
        <v>34.798999999999999</v>
      </c>
      <c r="J165" s="2">
        <v>1.1227</v>
      </c>
      <c r="K165" s="2">
        <v>3072.8</v>
      </c>
      <c r="L165" s="2">
        <v>25.927</v>
      </c>
    </row>
    <row r="166" spans="1:12" x14ac:dyDescent="0.3">
      <c r="A166" s="5">
        <v>70</v>
      </c>
      <c r="B166" s="3">
        <v>1.9</v>
      </c>
      <c r="C166" s="2">
        <v>1.1252</v>
      </c>
      <c r="D166" s="5">
        <v>3242.2</v>
      </c>
      <c r="E166" s="2">
        <v>25.684999999999999</v>
      </c>
      <c r="F166" s="2">
        <f t="shared" si="24"/>
        <v>323.69087015767963</v>
      </c>
      <c r="G166" s="2">
        <f t="shared" si="25"/>
        <v>1616.8758263254124</v>
      </c>
      <c r="I166" s="6">
        <v>40.588999999999999</v>
      </c>
      <c r="J166" s="2">
        <v>1.1234</v>
      </c>
      <c r="K166" s="2">
        <v>3085.6</v>
      </c>
      <c r="L166" s="2">
        <v>25.963000000000001</v>
      </c>
    </row>
    <row r="167" spans="1:12" x14ac:dyDescent="0.3">
      <c r="A167" s="5">
        <v>80</v>
      </c>
      <c r="B167" s="3">
        <v>1.9</v>
      </c>
      <c r="C167" s="2">
        <v>1.1257999999999999</v>
      </c>
      <c r="D167" s="5">
        <v>3255.1</v>
      </c>
      <c r="E167" s="2">
        <v>25.719000000000001</v>
      </c>
      <c r="F167" s="2">
        <f t="shared" si="24"/>
        <v>323.26295734670862</v>
      </c>
      <c r="G167" s="2">
        <f t="shared" si="25"/>
        <v>1618.7030714256528</v>
      </c>
      <c r="I167" s="6">
        <v>46.375999999999998</v>
      </c>
      <c r="J167" s="2">
        <v>1.1241000000000001</v>
      </c>
      <c r="K167" s="2">
        <v>3096.7</v>
      </c>
      <c r="L167" s="2">
        <v>25.994</v>
      </c>
    </row>
    <row r="168" spans="1:12" x14ac:dyDescent="0.3">
      <c r="A168" s="5">
        <v>90</v>
      </c>
      <c r="B168" s="3">
        <v>1.9</v>
      </c>
      <c r="C168" s="2">
        <v>1.1263000000000001</v>
      </c>
      <c r="D168" s="5">
        <v>3266.5</v>
      </c>
      <c r="E168" s="2">
        <v>25.748000000000001</v>
      </c>
      <c r="F168" s="2">
        <f t="shared" si="24"/>
        <v>322.89886593133446</v>
      </c>
      <c r="G168" s="2">
        <f t="shared" si="25"/>
        <v>1620.3591200317501</v>
      </c>
      <c r="I168" s="6">
        <v>52.162999999999997</v>
      </c>
      <c r="J168" s="2">
        <v>1.1247</v>
      </c>
      <c r="K168" s="2">
        <v>3106.4</v>
      </c>
      <c r="L168" s="2">
        <v>26.021000000000001</v>
      </c>
    </row>
    <row r="169" spans="1:12" x14ac:dyDescent="0.3">
      <c r="A169" s="5">
        <v>100</v>
      </c>
      <c r="B169" s="3">
        <v>1.9</v>
      </c>
      <c r="C169" s="2">
        <v>1.1268</v>
      </c>
      <c r="D169" s="5">
        <v>3276.6</v>
      </c>
      <c r="E169" s="2">
        <v>25.774999999999999</v>
      </c>
      <c r="F169" s="2">
        <f t="shared" si="24"/>
        <v>322.56062075654705</v>
      </c>
      <c r="G169" s="2">
        <f t="shared" si="25"/>
        <v>1621.7494015123191</v>
      </c>
      <c r="I169" s="6">
        <v>57.948</v>
      </c>
      <c r="J169" s="2">
        <v>1.1252</v>
      </c>
      <c r="K169" s="2">
        <v>3115</v>
      </c>
      <c r="L169" s="2">
        <v>26.045000000000002</v>
      </c>
    </row>
    <row r="170" spans="1:12" x14ac:dyDescent="0.3">
      <c r="A170" s="5">
        <v>10</v>
      </c>
      <c r="B170" s="3">
        <v>2</v>
      </c>
      <c r="C170" s="2">
        <v>1.1172</v>
      </c>
      <c r="D170" s="5">
        <v>3035.9</v>
      </c>
      <c r="E170" s="2">
        <v>25.49</v>
      </c>
      <c r="F170" s="2">
        <f t="shared" si="24"/>
        <v>326.16712436249514</v>
      </c>
      <c r="G170" s="2">
        <f t="shared" si="25"/>
        <v>1574.6616623405591</v>
      </c>
      <c r="I170" s="6">
        <v>5.8151999999999999</v>
      </c>
      <c r="J170" s="2">
        <v>1.1153</v>
      </c>
      <c r="K170" s="2">
        <v>2903.5</v>
      </c>
      <c r="L170" s="2">
        <v>25.792999999999999</v>
      </c>
    </row>
    <row r="171" spans="1:12" x14ac:dyDescent="0.3">
      <c r="A171" s="5">
        <v>20</v>
      </c>
      <c r="B171" s="3">
        <v>2</v>
      </c>
      <c r="C171" s="2">
        <v>1.1203000000000001</v>
      </c>
      <c r="D171" s="5">
        <v>3102.8</v>
      </c>
      <c r="E171" s="2">
        <v>25.658000000000001</v>
      </c>
      <c r="F171" s="2">
        <f t="shared" si="24"/>
        <v>324.0314911528568</v>
      </c>
      <c r="G171" s="2">
        <f t="shared" si="25"/>
        <v>1585.0907736843865</v>
      </c>
      <c r="I171" s="6">
        <v>11.616</v>
      </c>
      <c r="J171" s="2">
        <v>1.1187</v>
      </c>
      <c r="K171" s="2">
        <v>2961.6</v>
      </c>
      <c r="L171" s="2">
        <v>25.952000000000002</v>
      </c>
    </row>
    <row r="172" spans="1:12" x14ac:dyDescent="0.3">
      <c r="A172" s="5">
        <v>30</v>
      </c>
      <c r="B172" s="3">
        <v>2</v>
      </c>
      <c r="C172" s="2">
        <v>1.1222000000000001</v>
      </c>
      <c r="D172" s="5">
        <v>3141.7</v>
      </c>
      <c r="E172" s="2">
        <v>25.757000000000001</v>
      </c>
      <c r="F172" s="2">
        <f t="shared" si="24"/>
        <v>322.78603874674843</v>
      </c>
      <c r="G172" s="2">
        <f t="shared" si="25"/>
        <v>1590.9427684623672</v>
      </c>
      <c r="I172" s="6">
        <v>17.411999999999999</v>
      </c>
      <c r="J172" s="2">
        <v>1.1206</v>
      </c>
      <c r="K172" s="2">
        <v>2995.1</v>
      </c>
      <c r="L172" s="2">
        <v>26.045000000000002</v>
      </c>
    </row>
    <row r="173" spans="1:12" x14ac:dyDescent="0.3">
      <c r="A173" s="5">
        <v>40</v>
      </c>
      <c r="B173" s="3">
        <v>2</v>
      </c>
      <c r="C173" s="2">
        <v>1.1235999999999999</v>
      </c>
      <c r="D173" s="5">
        <v>3169.1</v>
      </c>
      <c r="E173" s="2">
        <v>25.827999999999999</v>
      </c>
      <c r="F173" s="2">
        <f t="shared" si="24"/>
        <v>321.89871457333129</v>
      </c>
      <c r="G173" s="2">
        <f t="shared" si="25"/>
        <v>1594.9413384049278</v>
      </c>
      <c r="I173" s="6">
        <v>23.204999999999998</v>
      </c>
      <c r="J173" s="2">
        <v>1.1221000000000001</v>
      </c>
      <c r="K173" s="2">
        <v>3018.6</v>
      </c>
      <c r="L173" s="2">
        <v>26.11</v>
      </c>
    </row>
    <row r="174" spans="1:12" x14ac:dyDescent="0.3">
      <c r="A174" s="5">
        <v>50</v>
      </c>
      <c r="B174" s="3">
        <v>2</v>
      </c>
      <c r="C174" s="2">
        <v>1.1246</v>
      </c>
      <c r="D174" s="5">
        <v>3190.2</v>
      </c>
      <c r="E174" s="2">
        <v>25.882000000000001</v>
      </c>
      <c r="F174" s="2">
        <f t="shared" si="24"/>
        <v>321.22710764237695</v>
      </c>
      <c r="G174" s="2">
        <f t="shared" si="25"/>
        <v>1598.0528459774371</v>
      </c>
      <c r="I174" s="6">
        <v>28.994</v>
      </c>
      <c r="J174" s="2">
        <v>1.1232</v>
      </c>
      <c r="K174" s="2">
        <v>3036.7</v>
      </c>
      <c r="L174" s="2">
        <v>26.161000000000001</v>
      </c>
    </row>
    <row r="175" spans="1:12" x14ac:dyDescent="0.3">
      <c r="A175" s="5">
        <v>60</v>
      </c>
      <c r="B175" s="3">
        <v>2</v>
      </c>
      <c r="C175" s="2">
        <v>1.1254999999999999</v>
      </c>
      <c r="D175" s="5">
        <v>3207.4</v>
      </c>
      <c r="E175" s="2">
        <v>25.925999999999998</v>
      </c>
      <c r="F175" s="2">
        <f t="shared" si="24"/>
        <v>320.68194090874033</v>
      </c>
      <c r="G175" s="2">
        <f t="shared" si="25"/>
        <v>1600.5273672640128</v>
      </c>
      <c r="I175" s="6">
        <v>34.780999999999999</v>
      </c>
      <c r="J175" s="2">
        <v>1.1241000000000001</v>
      </c>
      <c r="K175" s="2">
        <v>3051.3</v>
      </c>
      <c r="L175" s="2">
        <v>26.202000000000002</v>
      </c>
    </row>
    <row r="176" spans="1:12" x14ac:dyDescent="0.3">
      <c r="A176" s="5">
        <v>70</v>
      </c>
      <c r="B176" s="3">
        <v>2</v>
      </c>
      <c r="C176" s="2">
        <v>1.1262000000000001</v>
      </c>
      <c r="D176" s="5">
        <v>3221.9</v>
      </c>
      <c r="E176" s="2">
        <v>25.963999999999999</v>
      </c>
      <c r="F176" s="2">
        <f t="shared" si="24"/>
        <v>320.21260206439689</v>
      </c>
      <c r="G176" s="2">
        <f t="shared" si="25"/>
        <v>1602.6031611008616</v>
      </c>
      <c r="I176" s="6">
        <v>40.567</v>
      </c>
      <c r="J176" s="2">
        <v>1.1249</v>
      </c>
      <c r="K176" s="2">
        <v>3063.5</v>
      </c>
      <c r="L176" s="2">
        <v>26.236000000000001</v>
      </c>
    </row>
    <row r="177" spans="1:12" x14ac:dyDescent="0.3">
      <c r="A177" s="5">
        <v>80</v>
      </c>
      <c r="B177" s="3">
        <v>2</v>
      </c>
      <c r="C177" s="2">
        <v>1.1269</v>
      </c>
      <c r="D177" s="5">
        <v>3234.3</v>
      </c>
      <c r="E177" s="2">
        <v>25.995999999999999</v>
      </c>
      <c r="F177" s="2">
        <f t="shared" si="24"/>
        <v>319.81843360517001</v>
      </c>
      <c r="G177" s="2">
        <f t="shared" si="25"/>
        <v>1604.3318127140019</v>
      </c>
      <c r="I177" s="6">
        <v>46.350999999999999</v>
      </c>
      <c r="J177" s="2">
        <v>1.1255999999999999</v>
      </c>
      <c r="K177" s="2">
        <v>3074.1</v>
      </c>
      <c r="L177" s="2">
        <v>26.265999999999998</v>
      </c>
    </row>
    <row r="178" spans="1:12" x14ac:dyDescent="0.3">
      <c r="A178" s="5">
        <v>90</v>
      </c>
      <c r="B178" s="3">
        <v>2</v>
      </c>
      <c r="C178" s="2">
        <v>1.1274</v>
      </c>
      <c r="D178" s="5">
        <v>3245.3</v>
      </c>
      <c r="E178" s="2">
        <v>26.024999999999999</v>
      </c>
      <c r="F178" s="2">
        <f t="shared" si="24"/>
        <v>319.46205571565804</v>
      </c>
      <c r="G178" s="2">
        <f t="shared" si="25"/>
        <v>1605.9021674873629</v>
      </c>
      <c r="I178" s="6">
        <v>52.133000000000003</v>
      </c>
      <c r="J178" s="2">
        <v>1.1262000000000001</v>
      </c>
      <c r="K178" s="2">
        <v>3083.3</v>
      </c>
      <c r="L178" s="2">
        <v>26.292000000000002</v>
      </c>
    </row>
    <row r="179" spans="1:12" x14ac:dyDescent="0.3">
      <c r="A179" s="5">
        <v>100</v>
      </c>
      <c r="B179" s="3">
        <v>2</v>
      </c>
      <c r="C179" s="2">
        <v>1.1278999999999999</v>
      </c>
      <c r="D179" s="5">
        <v>3255</v>
      </c>
      <c r="E179" s="2">
        <v>26.05</v>
      </c>
      <c r="F179" s="2">
        <f t="shared" si="24"/>
        <v>319.15547024952014</v>
      </c>
      <c r="G179" s="2">
        <f t="shared" si="25"/>
        <v>1607.268447446696</v>
      </c>
      <c r="I179" s="6">
        <v>57.914999999999999</v>
      </c>
      <c r="J179" s="2">
        <v>1.1267</v>
      </c>
      <c r="K179" s="2">
        <v>3091.5</v>
      </c>
      <c r="L179" s="2">
        <v>26.315000000000001</v>
      </c>
    </row>
  </sheetData>
  <mergeCells count="2">
    <mergeCell ref="I68:L68"/>
    <mergeCell ref="A68:G6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9CC2-AB7F-48F6-911F-3DE5FA11702F}">
  <sheetPr codeName="Sheet4"/>
  <dimension ref="A2:AE29"/>
  <sheetViews>
    <sheetView showGridLines="0" workbookViewId="0">
      <selection activeCell="B8" sqref="B8"/>
    </sheetView>
  </sheetViews>
  <sheetFormatPr defaultRowHeight="14.4" x14ac:dyDescent="0.3"/>
  <cols>
    <col min="1" max="1" width="21.6640625" customWidth="1"/>
    <col min="6" max="6" width="15.5546875" customWidth="1"/>
    <col min="8" max="8" width="9.6640625" customWidth="1"/>
    <col min="21" max="21" width="10.5546875" bestFit="1" customWidth="1"/>
  </cols>
  <sheetData>
    <row r="2" spans="1:31" ht="18" x14ac:dyDescent="0.35">
      <c r="G2" s="48" t="s">
        <v>46</v>
      </c>
      <c r="T2" s="48" t="s">
        <v>51</v>
      </c>
    </row>
    <row r="3" spans="1:31" x14ac:dyDescent="0.3">
      <c r="A3" s="29" t="s">
        <v>16</v>
      </c>
      <c r="B3" s="30">
        <v>50</v>
      </c>
      <c r="C3" s="30" t="s">
        <v>22</v>
      </c>
      <c r="D3" s="31">
        <f>B3*2.2/9.81*1000</f>
        <v>11213.047910295618</v>
      </c>
      <c r="E3" s="32" t="s">
        <v>21</v>
      </c>
      <c r="G3" s="47" t="s">
        <v>44</v>
      </c>
      <c r="H3" s="47" t="s">
        <v>45</v>
      </c>
      <c r="I3" s="47"/>
      <c r="T3" s="47" t="s">
        <v>44</v>
      </c>
      <c r="U3" s="47" t="s">
        <v>45</v>
      </c>
      <c r="V3" s="47"/>
    </row>
    <row r="4" spans="1:31" x14ac:dyDescent="0.3">
      <c r="A4" s="33" t="s">
        <v>17</v>
      </c>
      <c r="B4">
        <v>50</v>
      </c>
      <c r="C4" t="s">
        <v>18</v>
      </c>
      <c r="D4">
        <f>B4*14.7</f>
        <v>735</v>
      </c>
      <c r="E4" s="34" t="s">
        <v>19</v>
      </c>
      <c r="G4" s="50"/>
      <c r="H4" s="51">
        <v>4</v>
      </c>
      <c r="I4" s="51">
        <v>8</v>
      </c>
      <c r="J4" s="51">
        <v>12</v>
      </c>
      <c r="K4" s="51">
        <v>16</v>
      </c>
      <c r="L4" s="51">
        <v>20</v>
      </c>
      <c r="M4" s="51">
        <v>24</v>
      </c>
      <c r="N4" s="51">
        <v>28</v>
      </c>
      <c r="O4" s="51">
        <v>32</v>
      </c>
      <c r="Q4" s="54" t="s">
        <v>47</v>
      </c>
      <c r="R4" s="54" t="s">
        <v>48</v>
      </c>
      <c r="T4" s="50"/>
      <c r="U4" s="51">
        <v>4</v>
      </c>
      <c r="V4" s="51">
        <v>8</v>
      </c>
      <c r="W4" s="51">
        <v>12</v>
      </c>
      <c r="X4" s="51">
        <v>16</v>
      </c>
      <c r="Y4" s="51">
        <v>20</v>
      </c>
      <c r="Z4" s="51">
        <v>24</v>
      </c>
      <c r="AA4" s="51">
        <v>28</v>
      </c>
      <c r="AB4" s="51">
        <v>32</v>
      </c>
      <c r="AD4" s="54" t="s">
        <v>53</v>
      </c>
      <c r="AE4" s="54"/>
    </row>
    <row r="5" spans="1:31" x14ac:dyDescent="0.3">
      <c r="A5" s="33" t="s">
        <v>20</v>
      </c>
      <c r="B5">
        <v>1.5</v>
      </c>
      <c r="E5" s="34"/>
      <c r="G5" s="52">
        <v>5000</v>
      </c>
      <c r="H5" s="43">
        <f>$B$16*1000/(H$4/100)^2/($G5*2*3.1416/60)^2</f>
        <v>411.81689869951492</v>
      </c>
      <c r="I5" s="44">
        <f t="shared" ref="I5:O14" si="0">$B$16*1000/(I$4/100)^2/($G5*2*3.1416/60)^2</f>
        <v>102.95422467487873</v>
      </c>
      <c r="J5" s="44">
        <f t="shared" si="0"/>
        <v>45.757433188834995</v>
      </c>
      <c r="K5" s="44">
        <f t="shared" si="0"/>
        <v>25.738556168719683</v>
      </c>
      <c r="L5" s="44">
        <f t="shared" si="0"/>
        <v>16.472675947980594</v>
      </c>
      <c r="M5" s="44">
        <f t="shared" si="0"/>
        <v>11.439358297208749</v>
      </c>
      <c r="N5" s="44">
        <f t="shared" si="0"/>
        <v>8.404426504071731</v>
      </c>
      <c r="O5" s="45">
        <f t="shared" si="0"/>
        <v>6.4346390421799207</v>
      </c>
      <c r="Q5" s="2">
        <f>B$7*0.1</f>
        <v>2.2222222222222223</v>
      </c>
      <c r="R5" s="2">
        <f>B$7*0.01</f>
        <v>0.22222222222222221</v>
      </c>
      <c r="T5" s="52">
        <v>5000</v>
      </c>
      <c r="U5" s="43">
        <f>(3+$B$19)/8*$B$18*($T5*2*3.1416/60)^2*(U$4/100)^2/1000000</f>
        <v>1.4828491989696002</v>
      </c>
      <c r="V5" s="44">
        <f t="shared" ref="V5:AB14" si="1">(3+$B$19)/8*$B$18*($T5*2*3.1416/60)^2*(V$4/100)^2/1000000</f>
        <v>5.9313967958784009</v>
      </c>
      <c r="W5" s="44">
        <f t="shared" si="1"/>
        <v>13.345642790726401</v>
      </c>
      <c r="X5" s="44">
        <f t="shared" si="1"/>
        <v>23.725587183513603</v>
      </c>
      <c r="Y5" s="44">
        <f t="shared" si="1"/>
        <v>37.071229974240012</v>
      </c>
      <c r="Z5" s="44">
        <f t="shared" si="1"/>
        <v>53.382571162905606</v>
      </c>
      <c r="AA5" s="44">
        <f t="shared" si="1"/>
        <v>72.659610749510421</v>
      </c>
      <c r="AB5" s="45">
        <f t="shared" si="1"/>
        <v>94.902348734054414</v>
      </c>
      <c r="AD5" s="2">
        <v>500</v>
      </c>
      <c r="AE5" s="2"/>
    </row>
    <row r="6" spans="1:31" x14ac:dyDescent="0.3">
      <c r="A6" s="33" t="s">
        <v>24</v>
      </c>
      <c r="B6">
        <v>1500</v>
      </c>
      <c r="C6" t="s">
        <v>25</v>
      </c>
      <c r="E6" s="34"/>
      <c r="G6" s="52">
        <v>10000</v>
      </c>
      <c r="H6" s="6">
        <f t="shared" ref="H6:H14" si="2">$B$16*1000/(H$4/100)^2/($G6*2*3.1416/60)^2</f>
        <v>102.95422467487873</v>
      </c>
      <c r="I6" s="2">
        <f t="shared" si="0"/>
        <v>25.738556168719683</v>
      </c>
      <c r="J6" s="2">
        <f t="shared" si="0"/>
        <v>11.439358297208749</v>
      </c>
      <c r="K6" s="2">
        <f t="shared" si="0"/>
        <v>6.4346390421799207</v>
      </c>
      <c r="L6" s="2">
        <f t="shared" si="0"/>
        <v>4.1181689869951486</v>
      </c>
      <c r="M6" s="2">
        <f t="shared" si="0"/>
        <v>2.8598395743021872</v>
      </c>
      <c r="N6" s="2">
        <f t="shared" si="0"/>
        <v>2.1011066260179327</v>
      </c>
      <c r="O6" s="11">
        <f t="shared" si="0"/>
        <v>1.6086597605449802</v>
      </c>
      <c r="Q6" s="2">
        <f t="shared" ref="Q6:Q14" si="3">B$7*0.1</f>
        <v>2.2222222222222223</v>
      </c>
      <c r="R6" s="2">
        <f t="shared" ref="R6:R14" si="4">B$7*0.01</f>
        <v>0.22222222222222221</v>
      </c>
      <c r="T6" s="52">
        <v>10000</v>
      </c>
      <c r="U6" s="6">
        <f t="shared" ref="U6:U14" si="5">(3+$B$19)/8*$B$18*($T6*2*3.1416/60)^2*(U$4/100)^2/1000000</f>
        <v>5.9313967958784009</v>
      </c>
      <c r="V6" s="2">
        <f t="shared" si="1"/>
        <v>23.725587183513603</v>
      </c>
      <c r="W6" s="2">
        <f t="shared" si="1"/>
        <v>53.382571162905606</v>
      </c>
      <c r="X6" s="2">
        <f t="shared" si="1"/>
        <v>94.902348734054414</v>
      </c>
      <c r="Y6" s="2">
        <f t="shared" si="1"/>
        <v>148.28491989696005</v>
      </c>
      <c r="Z6" s="2">
        <f>(3+$B$19)/8*$B$18*($T6*2*3.1416/60)^2*(Z$4/100)^2/1000000</f>
        <v>213.53028465162242</v>
      </c>
      <c r="AA6" s="2">
        <f t="shared" si="1"/>
        <v>290.63844299804168</v>
      </c>
      <c r="AB6" s="11">
        <f t="shared" si="1"/>
        <v>379.60939493621765</v>
      </c>
      <c r="AD6" s="2">
        <v>500</v>
      </c>
      <c r="AE6" s="2"/>
    </row>
    <row r="7" spans="1:31" x14ac:dyDescent="0.3">
      <c r="A7" s="35" t="s">
        <v>23</v>
      </c>
      <c r="B7" s="36">
        <f>B3*1000/(B6*B5)</f>
        <v>22.222222222222221</v>
      </c>
      <c r="C7" s="37" t="s">
        <v>12</v>
      </c>
      <c r="D7" s="37"/>
      <c r="E7" s="38"/>
      <c r="G7" s="52">
        <v>15000</v>
      </c>
      <c r="H7" s="6">
        <f t="shared" si="2"/>
        <v>45.757433188835002</v>
      </c>
      <c r="I7" s="2">
        <f t="shared" si="0"/>
        <v>11.43935829720875</v>
      </c>
      <c r="J7" s="2">
        <f t="shared" si="0"/>
        <v>5.0841592432038896</v>
      </c>
      <c r="K7" s="2">
        <f t="shared" si="0"/>
        <v>2.8598395743021876</v>
      </c>
      <c r="L7" s="49">
        <f t="shared" si="0"/>
        <v>1.8302973275533998</v>
      </c>
      <c r="M7" s="2">
        <f t="shared" si="0"/>
        <v>1.2710398108009724</v>
      </c>
      <c r="N7" s="2">
        <f t="shared" si="0"/>
        <v>0.93382516711908137</v>
      </c>
      <c r="O7" s="11">
        <f t="shared" si="0"/>
        <v>0.7149598935755469</v>
      </c>
      <c r="Q7" s="2">
        <f t="shared" si="3"/>
        <v>2.2222222222222223</v>
      </c>
      <c r="R7" s="2">
        <f t="shared" si="4"/>
        <v>0.22222222222222221</v>
      </c>
      <c r="T7" s="52">
        <v>15000</v>
      </c>
      <c r="U7" s="6">
        <f t="shared" si="5"/>
        <v>13.3456427907264</v>
      </c>
      <c r="V7" s="2">
        <f t="shared" si="1"/>
        <v>53.382571162905599</v>
      </c>
      <c r="W7" s="2">
        <f t="shared" si="1"/>
        <v>120.11078511653757</v>
      </c>
      <c r="X7" s="2">
        <f t="shared" si="1"/>
        <v>213.5302846516224</v>
      </c>
      <c r="Y7" s="49">
        <f t="shared" si="1"/>
        <v>333.64106976815998</v>
      </c>
      <c r="Z7" s="2">
        <f t="shared" si="1"/>
        <v>480.44314046615028</v>
      </c>
      <c r="AA7" s="2">
        <f t="shared" si="1"/>
        <v>653.93649674559356</v>
      </c>
      <c r="AB7" s="11">
        <f t="shared" si="1"/>
        <v>854.12113860648958</v>
      </c>
      <c r="AD7" s="2">
        <v>500</v>
      </c>
      <c r="AE7" s="2"/>
    </row>
    <row r="8" spans="1:31" x14ac:dyDescent="0.3">
      <c r="G8" s="52">
        <v>20000</v>
      </c>
      <c r="H8" s="6">
        <f t="shared" si="2"/>
        <v>25.738556168719683</v>
      </c>
      <c r="I8" s="2">
        <f t="shared" si="0"/>
        <v>6.4346390421799207</v>
      </c>
      <c r="J8" s="2">
        <f t="shared" si="0"/>
        <v>2.8598395743021872</v>
      </c>
      <c r="K8" s="49">
        <f t="shared" si="0"/>
        <v>1.6086597605449802</v>
      </c>
      <c r="L8" s="2">
        <f t="shared" si="0"/>
        <v>1.0295422467487871</v>
      </c>
      <c r="M8" s="2">
        <f t="shared" si="0"/>
        <v>0.71495989357554679</v>
      </c>
      <c r="N8" s="2">
        <f t="shared" si="0"/>
        <v>0.52527665650448319</v>
      </c>
      <c r="O8" s="11">
        <f t="shared" si="0"/>
        <v>0.40216494013624504</v>
      </c>
      <c r="Q8" s="2">
        <f t="shared" si="3"/>
        <v>2.2222222222222223</v>
      </c>
      <c r="R8" s="2">
        <f t="shared" si="4"/>
        <v>0.22222222222222221</v>
      </c>
      <c r="T8" s="52">
        <v>20000</v>
      </c>
      <c r="U8" s="6">
        <f t="shared" si="5"/>
        <v>23.725587183513603</v>
      </c>
      <c r="V8" s="2">
        <f t="shared" si="1"/>
        <v>94.902348734054414</v>
      </c>
      <c r="W8" s="2">
        <f t="shared" si="1"/>
        <v>213.53028465162242</v>
      </c>
      <c r="X8" s="49">
        <f t="shared" si="1"/>
        <v>379.60939493621765</v>
      </c>
      <c r="Y8" s="2">
        <f t="shared" si="1"/>
        <v>593.13967958784019</v>
      </c>
      <c r="Z8" s="2">
        <f t="shared" si="1"/>
        <v>854.12113860648969</v>
      </c>
      <c r="AA8" s="2">
        <f t="shared" si="1"/>
        <v>1162.5537719921667</v>
      </c>
      <c r="AB8" s="11">
        <f t="shared" si="1"/>
        <v>1518.4375797448706</v>
      </c>
      <c r="AD8" s="2">
        <v>500</v>
      </c>
      <c r="AE8" s="2"/>
    </row>
    <row r="9" spans="1:31" x14ac:dyDescent="0.3">
      <c r="A9" s="29" t="s">
        <v>37</v>
      </c>
      <c r="B9" s="30">
        <v>841</v>
      </c>
      <c r="C9" s="30" t="s">
        <v>39</v>
      </c>
      <c r="D9" s="30"/>
      <c r="E9" s="32"/>
      <c r="F9" t="s">
        <v>40</v>
      </c>
      <c r="G9" s="52">
        <v>25000</v>
      </c>
      <c r="H9" s="6">
        <f t="shared" si="2"/>
        <v>16.472675947980598</v>
      </c>
      <c r="I9" s="2">
        <f t="shared" si="0"/>
        <v>4.1181689869951494</v>
      </c>
      <c r="J9" s="49">
        <f t="shared" si="0"/>
        <v>1.8302973275533998</v>
      </c>
      <c r="K9" s="2">
        <f t="shared" si="0"/>
        <v>1.0295422467487874</v>
      </c>
      <c r="L9" s="2">
        <f t="shared" si="0"/>
        <v>0.65890703791922378</v>
      </c>
      <c r="M9" s="2">
        <f t="shared" si="0"/>
        <v>0.45757433188834995</v>
      </c>
      <c r="N9" s="2">
        <f t="shared" si="0"/>
        <v>0.33617706016286925</v>
      </c>
      <c r="O9" s="11">
        <f t="shared" si="0"/>
        <v>0.25738556168719684</v>
      </c>
      <c r="Q9" s="2">
        <f t="shared" si="3"/>
        <v>2.2222222222222223</v>
      </c>
      <c r="R9" s="2">
        <f t="shared" si="4"/>
        <v>0.22222222222222221</v>
      </c>
      <c r="T9" s="52">
        <v>25000</v>
      </c>
      <c r="U9" s="6">
        <f t="shared" si="5"/>
        <v>37.071229974239998</v>
      </c>
      <c r="V9" s="2">
        <f t="shared" si="1"/>
        <v>148.28491989695999</v>
      </c>
      <c r="W9" s="49">
        <f t="shared" si="1"/>
        <v>333.64106976815998</v>
      </c>
      <c r="X9" s="2">
        <f t="shared" si="1"/>
        <v>593.13967958783996</v>
      </c>
      <c r="Y9" s="2">
        <f t="shared" si="1"/>
        <v>926.78074935600011</v>
      </c>
      <c r="Z9" s="2">
        <f t="shared" si="1"/>
        <v>1334.5642790726399</v>
      </c>
      <c r="AA9" s="2">
        <f t="shared" si="1"/>
        <v>1816.4902687377601</v>
      </c>
      <c r="AB9" s="11">
        <f t="shared" si="1"/>
        <v>2372.5587183513599</v>
      </c>
      <c r="AD9" s="2">
        <v>500</v>
      </c>
      <c r="AE9" s="2"/>
    </row>
    <row r="10" spans="1:31" x14ac:dyDescent="0.3">
      <c r="A10" s="33" t="s">
        <v>38</v>
      </c>
      <c r="B10">
        <v>1141</v>
      </c>
      <c r="C10" t="s">
        <v>39</v>
      </c>
      <c r="E10" s="34"/>
      <c r="G10" s="52">
        <v>30000</v>
      </c>
      <c r="H10" s="6">
        <f t="shared" si="2"/>
        <v>11.43935829720875</v>
      </c>
      <c r="I10" s="2">
        <f>$B$16*1000/(I$4/100)^2/($G10*2*3.1416/60)^2</f>
        <v>2.8598395743021876</v>
      </c>
      <c r="J10" s="2">
        <f t="shared" si="0"/>
        <v>1.2710398108009724</v>
      </c>
      <c r="K10" s="2">
        <f t="shared" si="0"/>
        <v>0.7149598935755469</v>
      </c>
      <c r="L10" s="2">
        <f t="shared" si="0"/>
        <v>0.45757433188834995</v>
      </c>
      <c r="M10" s="2">
        <f t="shared" si="0"/>
        <v>0.3177599527002431</v>
      </c>
      <c r="N10" s="2">
        <f t="shared" si="0"/>
        <v>0.23345629177977034</v>
      </c>
      <c r="O10" s="11">
        <f t="shared" si="0"/>
        <v>0.17873997339388673</v>
      </c>
      <c r="Q10" s="2">
        <f t="shared" si="3"/>
        <v>2.2222222222222223</v>
      </c>
      <c r="R10" s="2">
        <f t="shared" si="4"/>
        <v>0.22222222222222221</v>
      </c>
      <c r="T10" s="52">
        <v>30000</v>
      </c>
      <c r="U10" s="6">
        <f t="shared" si="5"/>
        <v>53.382571162905599</v>
      </c>
      <c r="V10" s="2">
        <f t="shared" si="1"/>
        <v>213.5302846516224</v>
      </c>
      <c r="W10" s="2">
        <f t="shared" si="1"/>
        <v>480.44314046615028</v>
      </c>
      <c r="X10" s="2">
        <f t="shared" si="1"/>
        <v>854.12113860648958</v>
      </c>
      <c r="Y10" s="2">
        <f t="shared" si="1"/>
        <v>1334.5642790726399</v>
      </c>
      <c r="Z10" s="2">
        <f t="shared" si="1"/>
        <v>1921.7725618646011</v>
      </c>
      <c r="AA10" s="2">
        <f t="shared" si="1"/>
        <v>2615.7459869823742</v>
      </c>
      <c r="AB10" s="11">
        <f t="shared" si="1"/>
        <v>3416.4845544259583</v>
      </c>
      <c r="AD10" s="2">
        <v>500</v>
      </c>
      <c r="AE10" s="2"/>
    </row>
    <row r="11" spans="1:31" x14ac:dyDescent="0.3">
      <c r="A11" s="33" t="s">
        <v>32</v>
      </c>
      <c r="B11">
        <v>1.2</v>
      </c>
      <c r="E11" s="34"/>
      <c r="G11" s="52">
        <v>35000</v>
      </c>
      <c r="H11" s="6">
        <f t="shared" si="2"/>
        <v>8.4044265040717345</v>
      </c>
      <c r="I11" s="2">
        <f t="shared" si="0"/>
        <v>2.1011066260179336</v>
      </c>
      <c r="J11" s="2">
        <f t="shared" si="0"/>
        <v>0.93382516711908159</v>
      </c>
      <c r="K11" s="2">
        <f t="shared" si="0"/>
        <v>0.52527665650448341</v>
      </c>
      <c r="L11" s="2">
        <f t="shared" si="0"/>
        <v>0.3361770601628693</v>
      </c>
      <c r="M11" s="2">
        <f t="shared" si="0"/>
        <v>0.2334562917797704</v>
      </c>
      <c r="N11" s="2">
        <f t="shared" si="0"/>
        <v>0.17151890824636187</v>
      </c>
      <c r="O11" s="11">
        <f t="shared" si="0"/>
        <v>0.13131916412612085</v>
      </c>
      <c r="Q11" s="2">
        <f t="shared" si="3"/>
        <v>2.2222222222222223</v>
      </c>
      <c r="R11" s="2">
        <f t="shared" si="4"/>
        <v>0.22222222222222221</v>
      </c>
      <c r="T11" s="52">
        <v>35000</v>
      </c>
      <c r="U11" s="6">
        <f t="shared" si="5"/>
        <v>72.659610749510392</v>
      </c>
      <c r="V11" s="2">
        <f t="shared" si="1"/>
        <v>290.63844299804157</v>
      </c>
      <c r="W11" s="2">
        <f t="shared" si="1"/>
        <v>653.93649674559344</v>
      </c>
      <c r="X11" s="2">
        <f t="shared" si="1"/>
        <v>1162.5537719921663</v>
      </c>
      <c r="Y11" s="2">
        <f t="shared" si="1"/>
        <v>1816.4902687377601</v>
      </c>
      <c r="Z11" s="2">
        <f t="shared" si="1"/>
        <v>2615.7459869823738</v>
      </c>
      <c r="AA11" s="2">
        <f t="shared" si="1"/>
        <v>3560.3209267260095</v>
      </c>
      <c r="AB11" s="11">
        <f t="shared" si="1"/>
        <v>4650.2150879686651</v>
      </c>
      <c r="AD11" s="2">
        <v>500</v>
      </c>
      <c r="AE11" s="2"/>
    </row>
    <row r="12" spans="1:31" x14ac:dyDescent="0.3">
      <c r="A12" s="35" t="s">
        <v>42</v>
      </c>
      <c r="B12" s="14">
        <f>1/(B11+1)*B9+B11/(1+B11)*B10</f>
        <v>1004.6363636363636</v>
      </c>
      <c r="C12" s="37" t="s">
        <v>39</v>
      </c>
      <c r="D12" s="37"/>
      <c r="E12" s="38"/>
      <c r="G12" s="52">
        <v>40000</v>
      </c>
      <c r="H12" s="6">
        <f t="shared" si="2"/>
        <v>6.4346390421799207</v>
      </c>
      <c r="I12" s="2">
        <f t="shared" si="0"/>
        <v>1.6086597605449802</v>
      </c>
      <c r="J12" s="2">
        <f t="shared" si="0"/>
        <v>0.71495989357554679</v>
      </c>
      <c r="K12" s="2">
        <f t="shared" si="0"/>
        <v>0.40216494013624504</v>
      </c>
      <c r="L12" s="2">
        <f t="shared" si="0"/>
        <v>0.25738556168719678</v>
      </c>
      <c r="M12" s="2">
        <f t="shared" si="0"/>
        <v>0.1787399733938867</v>
      </c>
      <c r="N12" s="2">
        <f t="shared" si="0"/>
        <v>0.1313191641261208</v>
      </c>
      <c r="O12" s="11">
        <f t="shared" si="0"/>
        <v>0.10054123503406126</v>
      </c>
      <c r="Q12" s="2">
        <f t="shared" si="3"/>
        <v>2.2222222222222223</v>
      </c>
      <c r="R12" s="2">
        <f t="shared" si="4"/>
        <v>0.22222222222222221</v>
      </c>
      <c r="T12" s="52">
        <v>40000</v>
      </c>
      <c r="U12" s="6">
        <f t="shared" si="5"/>
        <v>94.902348734054414</v>
      </c>
      <c r="V12" s="2">
        <f t="shared" si="1"/>
        <v>379.60939493621765</v>
      </c>
      <c r="W12" s="2">
        <f t="shared" si="1"/>
        <v>854.12113860648969</v>
      </c>
      <c r="X12" s="2">
        <f t="shared" si="1"/>
        <v>1518.4375797448706</v>
      </c>
      <c r="Y12" s="2">
        <f t="shared" si="1"/>
        <v>2372.5587183513608</v>
      </c>
      <c r="Z12" s="2">
        <f t="shared" si="1"/>
        <v>3416.4845544259588</v>
      </c>
      <c r="AA12" s="2">
        <f t="shared" si="1"/>
        <v>4650.2150879686669</v>
      </c>
      <c r="AB12" s="11">
        <f t="shared" si="1"/>
        <v>6073.7503189794825</v>
      </c>
      <c r="AD12" s="2">
        <v>500</v>
      </c>
      <c r="AE12" s="2"/>
    </row>
    <row r="13" spans="1:31" x14ac:dyDescent="0.3">
      <c r="G13" s="52">
        <v>45000</v>
      </c>
      <c r="H13" s="6">
        <f t="shared" si="2"/>
        <v>5.0841592432038887</v>
      </c>
      <c r="I13" s="2">
        <f t="shared" si="0"/>
        <v>1.2710398108009722</v>
      </c>
      <c r="J13" s="2">
        <f t="shared" si="0"/>
        <v>0.56490658257820991</v>
      </c>
      <c r="K13" s="2">
        <f t="shared" si="0"/>
        <v>0.31775995270024304</v>
      </c>
      <c r="L13" s="2">
        <f t="shared" si="0"/>
        <v>0.20336636972815553</v>
      </c>
      <c r="M13" s="2">
        <f t="shared" si="0"/>
        <v>0.14122664564455248</v>
      </c>
      <c r="N13" s="2">
        <f t="shared" si="0"/>
        <v>0.10375835190212016</v>
      </c>
      <c r="O13" s="11">
        <f t="shared" si="0"/>
        <v>7.9439988175060761E-2</v>
      </c>
      <c r="Q13" s="2">
        <f t="shared" si="3"/>
        <v>2.2222222222222223</v>
      </c>
      <c r="R13" s="2">
        <f t="shared" si="4"/>
        <v>0.22222222222222221</v>
      </c>
      <c r="T13" s="52">
        <v>45000</v>
      </c>
      <c r="U13" s="6">
        <f t="shared" si="5"/>
        <v>120.1107851165376</v>
      </c>
      <c r="V13" s="2">
        <f t="shared" si="1"/>
        <v>480.4431404661504</v>
      </c>
      <c r="W13" s="2">
        <f t="shared" si="1"/>
        <v>1080.9970660488384</v>
      </c>
      <c r="X13" s="2">
        <f t="shared" si="1"/>
        <v>1921.7725618646016</v>
      </c>
      <c r="Y13" s="2">
        <f t="shared" si="1"/>
        <v>3002.7696279134407</v>
      </c>
      <c r="Z13" s="2">
        <f t="shared" si="1"/>
        <v>4323.9882641953536</v>
      </c>
      <c r="AA13" s="2">
        <f t="shared" si="1"/>
        <v>5885.4284707103434</v>
      </c>
      <c r="AB13" s="11">
        <f t="shared" si="1"/>
        <v>7687.0902474584063</v>
      </c>
      <c r="AD13" s="2">
        <v>500</v>
      </c>
      <c r="AE13" s="2"/>
    </row>
    <row r="14" spans="1:31" x14ac:dyDescent="0.3">
      <c r="A14" s="29" t="s">
        <v>36</v>
      </c>
      <c r="B14" s="30">
        <v>1</v>
      </c>
      <c r="C14" s="30" t="s">
        <v>18</v>
      </c>
      <c r="D14" s="30"/>
      <c r="E14" s="32"/>
      <c r="G14" s="52">
        <v>50000</v>
      </c>
      <c r="H14" s="46">
        <f t="shared" si="2"/>
        <v>4.1181689869951494</v>
      </c>
      <c r="I14" s="13">
        <f t="shared" si="0"/>
        <v>1.0295422467487874</v>
      </c>
      <c r="J14" s="13">
        <f t="shared" si="0"/>
        <v>0.45757433188834995</v>
      </c>
      <c r="K14" s="13">
        <f t="shared" si="0"/>
        <v>0.25738556168719684</v>
      </c>
      <c r="L14" s="13">
        <f t="shared" si="0"/>
        <v>0.16472675947980595</v>
      </c>
      <c r="M14" s="13">
        <f t="shared" si="0"/>
        <v>0.11439358297208749</v>
      </c>
      <c r="N14" s="13">
        <f t="shared" si="0"/>
        <v>8.4044265040717311E-2</v>
      </c>
      <c r="O14" s="15">
        <f t="shared" si="0"/>
        <v>6.434639042179921E-2</v>
      </c>
      <c r="Q14" s="2">
        <f t="shared" si="3"/>
        <v>2.2222222222222223</v>
      </c>
      <c r="R14" s="2">
        <f t="shared" si="4"/>
        <v>0.22222222222222221</v>
      </c>
      <c r="T14" s="52">
        <v>50000</v>
      </c>
      <c r="U14" s="46">
        <f t="shared" si="5"/>
        <v>148.28491989695999</v>
      </c>
      <c r="V14" s="13">
        <f t="shared" si="1"/>
        <v>593.13967958783996</v>
      </c>
      <c r="W14" s="13">
        <f t="shared" si="1"/>
        <v>1334.5642790726399</v>
      </c>
      <c r="X14" s="13">
        <f t="shared" si="1"/>
        <v>2372.5587183513599</v>
      </c>
      <c r="Y14" s="13">
        <f t="shared" si="1"/>
        <v>3707.1229974240005</v>
      </c>
      <c r="Z14" s="13">
        <f t="shared" si="1"/>
        <v>5338.2571162905597</v>
      </c>
      <c r="AA14" s="13">
        <f t="shared" si="1"/>
        <v>7265.9610749510402</v>
      </c>
      <c r="AB14" s="15">
        <f t="shared" si="1"/>
        <v>9490.2348734054394</v>
      </c>
      <c r="AD14" s="2">
        <v>500</v>
      </c>
      <c r="AE14" s="2"/>
    </row>
    <row r="15" spans="1:31" x14ac:dyDescent="0.3">
      <c r="A15" s="33" t="s">
        <v>35</v>
      </c>
      <c r="B15">
        <v>0.6</v>
      </c>
      <c r="E15" s="34"/>
      <c r="G15" s="30"/>
      <c r="H15" s="53"/>
      <c r="I15" s="53"/>
      <c r="J15" s="53"/>
      <c r="K15" s="53"/>
      <c r="L15" s="53"/>
      <c r="M15" s="53"/>
      <c r="N15" s="53"/>
      <c r="O15" s="53"/>
    </row>
    <row r="16" spans="1:31" x14ac:dyDescent="0.3">
      <c r="A16" s="35" t="s">
        <v>15</v>
      </c>
      <c r="B16" s="19">
        <f>(B4-B14)*100000*B7/B12/B15/1000</f>
        <v>180.64395043853915</v>
      </c>
      <c r="C16" s="37" t="s">
        <v>43</v>
      </c>
      <c r="D16" s="37"/>
      <c r="E16" s="38"/>
      <c r="H16" s="3"/>
      <c r="I16" s="3"/>
      <c r="J16" s="3"/>
      <c r="K16" s="3"/>
      <c r="L16" s="3"/>
      <c r="M16" s="3"/>
      <c r="N16" s="3"/>
      <c r="O16" s="3"/>
    </row>
    <row r="17" spans="1:15" x14ac:dyDescent="0.3">
      <c r="H17" s="3"/>
      <c r="I17" s="3"/>
      <c r="J17" s="3"/>
      <c r="K17" s="3"/>
      <c r="L17" s="3"/>
      <c r="M17" s="3"/>
      <c r="N17" s="3"/>
      <c r="O17" s="3"/>
    </row>
    <row r="18" spans="1:15" x14ac:dyDescent="0.3">
      <c r="A18" s="29" t="s">
        <v>49</v>
      </c>
      <c r="B18" s="30">
        <v>8220</v>
      </c>
      <c r="C18" s="30" t="s">
        <v>39</v>
      </c>
      <c r="D18" s="30"/>
      <c r="E18" s="32"/>
      <c r="F18" t="s">
        <v>52</v>
      </c>
      <c r="H18" s="3"/>
      <c r="I18" s="3"/>
      <c r="J18" s="3"/>
      <c r="K18" s="3"/>
      <c r="L18" s="3"/>
      <c r="M18" s="3"/>
      <c r="N18" s="3"/>
      <c r="O18" s="3"/>
    </row>
    <row r="19" spans="1:15" x14ac:dyDescent="0.3">
      <c r="A19" s="35" t="s">
        <v>50</v>
      </c>
      <c r="B19" s="37">
        <v>0.28999999999999998</v>
      </c>
      <c r="C19" s="37"/>
      <c r="D19" s="37"/>
      <c r="E19" s="38"/>
      <c r="H19" s="3"/>
      <c r="I19" s="3"/>
      <c r="J19" s="3"/>
      <c r="K19" s="3"/>
      <c r="L19" s="3"/>
      <c r="M19" s="3"/>
      <c r="N19" s="3"/>
      <c r="O19" s="3"/>
    </row>
    <row r="20" spans="1:15" x14ac:dyDescent="0.3">
      <c r="H20" s="3"/>
      <c r="I20" s="3"/>
      <c r="J20" s="3"/>
      <c r="K20" s="3"/>
      <c r="L20" s="3"/>
      <c r="M20" s="3"/>
      <c r="N20" s="3"/>
      <c r="O20" s="3"/>
    </row>
    <row r="21" spans="1:15" x14ac:dyDescent="0.3">
      <c r="A21" s="29" t="s">
        <v>54</v>
      </c>
      <c r="B21" s="30">
        <v>10</v>
      </c>
      <c r="C21" s="30" t="s">
        <v>55</v>
      </c>
      <c r="D21" s="30"/>
      <c r="E21" s="32"/>
      <c r="H21" s="3"/>
      <c r="I21" s="3"/>
      <c r="J21" s="3"/>
      <c r="K21" s="3"/>
      <c r="L21" s="3"/>
      <c r="M21" s="3"/>
      <c r="N21" s="3"/>
      <c r="O21" s="3"/>
    </row>
    <row r="22" spans="1:15" x14ac:dyDescent="0.3">
      <c r="A22" s="33" t="s">
        <v>56</v>
      </c>
      <c r="B22" s="42">
        <f>1/(B11+1)*B7/B9*B21</f>
        <v>0.12010713556492389</v>
      </c>
      <c r="C22" t="s">
        <v>57</v>
      </c>
      <c r="D22" s="2">
        <f>B22*264.172</f>
        <v>31.728942216457078</v>
      </c>
      <c r="E22" s="34" t="s">
        <v>58</v>
      </c>
      <c r="H22" s="3"/>
      <c r="I22" s="3"/>
      <c r="J22" s="3"/>
      <c r="K22" s="3"/>
      <c r="L22" s="3"/>
      <c r="M22" s="3"/>
      <c r="N22" s="3"/>
      <c r="O22" s="3"/>
    </row>
    <row r="23" spans="1:15" x14ac:dyDescent="0.3">
      <c r="A23" s="35" t="s">
        <v>59</v>
      </c>
      <c r="B23" s="36">
        <f>B11/(B11+1)*B7/B10*B21</f>
        <v>0.10623323506759089</v>
      </c>
      <c r="C23" s="37" t="s">
        <v>57</v>
      </c>
      <c r="D23" s="13">
        <f>B23*264.172</f>
        <v>28.063846174275621</v>
      </c>
      <c r="E23" s="38" t="s">
        <v>58</v>
      </c>
      <c r="H23" s="3"/>
      <c r="I23" s="3"/>
      <c r="J23" s="3"/>
      <c r="K23" s="3"/>
      <c r="L23" s="3"/>
      <c r="M23" s="3"/>
      <c r="N23" s="3"/>
      <c r="O23" s="3"/>
    </row>
    <row r="24" spans="1:15" x14ac:dyDescent="0.3">
      <c r="A24" t="s">
        <v>60</v>
      </c>
      <c r="B24" s="5">
        <f>D22*289/5</f>
        <v>1833.9328601112193</v>
      </c>
      <c r="C24" t="s">
        <v>61</v>
      </c>
      <c r="F24" s="55" t="s">
        <v>62</v>
      </c>
      <c r="H24" s="3"/>
      <c r="I24" s="3"/>
      <c r="J24" s="3"/>
      <c r="K24" s="3"/>
      <c r="L24" s="3"/>
      <c r="M24" s="3"/>
      <c r="N24" s="3"/>
      <c r="O24" s="3"/>
    </row>
    <row r="25" spans="1:15" x14ac:dyDescent="0.3">
      <c r="F25" t="s">
        <v>63</v>
      </c>
      <c r="H25" s="3"/>
      <c r="I25" s="3"/>
      <c r="J25" s="3"/>
      <c r="K25" s="3"/>
      <c r="L25" s="3"/>
      <c r="M25" s="3"/>
      <c r="N25" s="3"/>
      <c r="O25" s="3"/>
    </row>
    <row r="26" spans="1:15" x14ac:dyDescent="0.3">
      <c r="F26" t="s">
        <v>64</v>
      </c>
      <c r="H26" s="3"/>
      <c r="I26" s="3"/>
      <c r="J26" s="3"/>
      <c r="K26" s="3"/>
      <c r="L26" s="3"/>
      <c r="M26" s="3"/>
      <c r="N26" s="3"/>
      <c r="O26" s="3"/>
    </row>
    <row r="27" spans="1:15" x14ac:dyDescent="0.3">
      <c r="H27" s="3"/>
      <c r="I27" s="3"/>
      <c r="J27" s="3"/>
      <c r="K27" s="3"/>
      <c r="L27" s="3"/>
      <c r="M27" s="3"/>
      <c r="N27" s="3"/>
      <c r="O27" s="3"/>
    </row>
    <row r="28" spans="1:15" x14ac:dyDescent="0.3">
      <c r="H28" s="3"/>
      <c r="I28" s="3"/>
      <c r="J28" s="3"/>
      <c r="K28" s="3"/>
      <c r="L28" s="3"/>
      <c r="M28" s="3"/>
      <c r="N28" s="3"/>
      <c r="O28" s="3"/>
    </row>
    <row r="29" spans="1:15" x14ac:dyDescent="0.3">
      <c r="H29" s="3"/>
      <c r="I29" s="3"/>
      <c r="J29" s="3"/>
      <c r="K29" s="3"/>
      <c r="L29" s="3"/>
      <c r="M29" s="3"/>
      <c r="N29" s="3"/>
      <c r="O29" s="3"/>
    </row>
  </sheetData>
  <phoneticPr fontId="4" type="noConversion"/>
  <hyperlinks>
    <hyperlink ref="F24" r:id="rId1" xr:uid="{B9EDE70C-D122-48DD-8875-4B1D9900293E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4B6D-6A52-43D0-9EF1-97752832A517}">
  <sheetPr codeName="Sheet5"/>
  <dimension ref="A2:D11"/>
  <sheetViews>
    <sheetView workbookViewId="0">
      <selection activeCell="F28" sqref="F28"/>
    </sheetView>
  </sheetViews>
  <sheetFormatPr defaultColWidth="15.33203125" defaultRowHeight="14.4" x14ac:dyDescent="0.3"/>
  <cols>
    <col min="3" max="3" width="7" customWidth="1"/>
  </cols>
  <sheetData>
    <row r="2" spans="1:4" x14ac:dyDescent="0.3">
      <c r="A2" t="s">
        <v>0</v>
      </c>
      <c r="B2">
        <v>1.5E-3</v>
      </c>
      <c r="C2" t="s">
        <v>1</v>
      </c>
      <c r="D2" t="s">
        <v>14</v>
      </c>
    </row>
    <row r="3" spans="1:4" x14ac:dyDescent="0.3">
      <c r="A3" t="s">
        <v>2</v>
      </c>
      <c r="B3">
        <f>3.1416/4*B2^2</f>
        <v>1.7671500000000001E-6</v>
      </c>
      <c r="C3" t="s">
        <v>3</v>
      </c>
    </row>
    <row r="5" spans="1:4" x14ac:dyDescent="0.3">
      <c r="A5" t="s">
        <v>4</v>
      </c>
      <c r="B5" s="1">
        <v>15170000</v>
      </c>
      <c r="C5" t="s">
        <v>5</v>
      </c>
    </row>
    <row r="6" spans="1:4" x14ac:dyDescent="0.3">
      <c r="A6" t="s">
        <v>6</v>
      </c>
      <c r="B6">
        <v>300</v>
      </c>
      <c r="C6" t="s">
        <v>9</v>
      </c>
    </row>
    <row r="7" spans="1:4" x14ac:dyDescent="0.3">
      <c r="A7" t="s">
        <v>7</v>
      </c>
      <c r="B7">
        <v>1.4</v>
      </c>
    </row>
    <row r="8" spans="1:4" x14ac:dyDescent="0.3">
      <c r="A8" t="s">
        <v>8</v>
      </c>
      <c r="B8">
        <v>297</v>
      </c>
      <c r="C8" t="s">
        <v>10</v>
      </c>
    </row>
    <row r="10" spans="1:4" x14ac:dyDescent="0.3">
      <c r="A10" t="s">
        <v>11</v>
      </c>
      <c r="B10" s="4">
        <f>B3*B5/SQRT(B6)*SQRT(B7/B8)*((B7+1)/2)^(-0.5*(B7+1)/(B7-1))</f>
        <v>6.1495087459825293E-2</v>
      </c>
      <c r="C10" t="s">
        <v>12</v>
      </c>
    </row>
    <row r="11" spans="1:4" x14ac:dyDescent="0.3">
      <c r="B11" s="3">
        <f>B10*1822.7</f>
        <v>112.08709591302356</v>
      </c>
      <c r="C11" t="s">
        <v>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291D-29EC-4922-A26A-53D15619D13D}">
  <sheetPr codeName="Sheet6"/>
  <dimension ref="B2:F20"/>
  <sheetViews>
    <sheetView workbookViewId="0">
      <selection activeCell="C3" sqref="C3"/>
    </sheetView>
  </sheetViews>
  <sheetFormatPr defaultRowHeight="14.4" x14ac:dyDescent="0.3"/>
  <cols>
    <col min="2" max="2" width="19.88671875" customWidth="1"/>
    <col min="3" max="3" width="12" bestFit="1" customWidth="1"/>
  </cols>
  <sheetData>
    <row r="2" spans="2:6" x14ac:dyDescent="0.3">
      <c r="B2" s="50" t="s">
        <v>69</v>
      </c>
      <c r="C2" s="30">
        <v>6</v>
      </c>
      <c r="D2" s="32" t="s">
        <v>12</v>
      </c>
    </row>
    <row r="3" spans="2:6" x14ac:dyDescent="0.3">
      <c r="B3" s="52" t="s">
        <v>0</v>
      </c>
      <c r="C3">
        <f>E3*25.4</f>
        <v>15.239999999999998</v>
      </c>
      <c r="D3" s="34" t="s">
        <v>71</v>
      </c>
      <c r="E3">
        <v>0.6</v>
      </c>
      <c r="F3" t="s">
        <v>70</v>
      </c>
    </row>
    <row r="4" spans="2:6" x14ac:dyDescent="0.3">
      <c r="B4" s="52" t="s">
        <v>2</v>
      </c>
      <c r="C4" s="3">
        <f>14*8</f>
        <v>112</v>
      </c>
      <c r="D4" s="34" t="s">
        <v>72</v>
      </c>
    </row>
    <row r="5" spans="2:6" x14ac:dyDescent="0.3">
      <c r="B5" s="52" t="s">
        <v>73</v>
      </c>
      <c r="C5">
        <v>1141</v>
      </c>
      <c r="D5" s="34" t="s">
        <v>39</v>
      </c>
    </row>
    <row r="6" spans="2:6" x14ac:dyDescent="0.3">
      <c r="B6" s="52"/>
      <c r="D6" s="34"/>
    </row>
    <row r="7" spans="2:6" x14ac:dyDescent="0.3">
      <c r="B7" s="52" t="s">
        <v>74</v>
      </c>
      <c r="C7">
        <v>30</v>
      </c>
      <c r="D7" s="34" t="s">
        <v>18</v>
      </c>
    </row>
    <row r="8" spans="2:6" x14ac:dyDescent="0.3">
      <c r="B8" s="52" t="s">
        <v>75</v>
      </c>
      <c r="C8">
        <v>1</v>
      </c>
      <c r="D8" s="34" t="s">
        <v>18</v>
      </c>
    </row>
    <row r="9" spans="2:6" x14ac:dyDescent="0.3">
      <c r="B9" s="52"/>
      <c r="D9" s="34"/>
    </row>
    <row r="10" spans="2:6" x14ac:dyDescent="0.3">
      <c r="B10" s="52" t="s">
        <v>76</v>
      </c>
      <c r="C10" s="3">
        <f>C2/C5/(C4*0.000001)</f>
        <v>46.951295855765622</v>
      </c>
      <c r="D10" s="34" t="s">
        <v>25</v>
      </c>
    </row>
    <row r="11" spans="2:6" x14ac:dyDescent="0.3">
      <c r="B11" s="52"/>
      <c r="C11" s="42"/>
      <c r="D11" s="34"/>
    </row>
    <row r="12" spans="2:6" x14ac:dyDescent="0.3">
      <c r="B12" s="75" t="s">
        <v>77</v>
      </c>
      <c r="C12" s="36">
        <f>(C7-C8)*100000/(0.5*C5*C10^2)</f>
        <v>2.3059356444444443</v>
      </c>
      <c r="D12" s="38"/>
    </row>
    <row r="14" spans="2:6" x14ac:dyDescent="0.3">
      <c r="B14" s="50" t="s">
        <v>78</v>
      </c>
      <c r="C14" s="30">
        <v>200</v>
      </c>
      <c r="D14" s="32" t="s">
        <v>79</v>
      </c>
    </row>
    <row r="15" spans="2:6" x14ac:dyDescent="0.3">
      <c r="B15" s="52" t="s">
        <v>80</v>
      </c>
      <c r="C15">
        <v>1.6</v>
      </c>
      <c r="D15" s="34"/>
    </row>
    <row r="16" spans="2:6" x14ac:dyDescent="0.3">
      <c r="B16" s="52" t="s">
        <v>81</v>
      </c>
      <c r="C16">
        <f>C14/C15</f>
        <v>125</v>
      </c>
      <c r="D16" s="34" t="s">
        <v>79</v>
      </c>
    </row>
    <row r="17" spans="2:4" x14ac:dyDescent="0.3">
      <c r="B17" s="52"/>
      <c r="D17" s="34"/>
    </row>
    <row r="18" spans="2:4" x14ac:dyDescent="0.3">
      <c r="B18" s="52" t="s">
        <v>82</v>
      </c>
      <c r="C18">
        <f>15.5/2</f>
        <v>7.75</v>
      </c>
      <c r="D18" s="34" t="s">
        <v>71</v>
      </c>
    </row>
    <row r="19" spans="2:4" x14ac:dyDescent="0.3">
      <c r="B19" s="52"/>
      <c r="D19" s="34"/>
    </row>
    <row r="20" spans="2:4" x14ac:dyDescent="0.3">
      <c r="B20" s="75" t="s">
        <v>83</v>
      </c>
      <c r="C20" s="37">
        <f>C7/10*C18/C16</f>
        <v>0.186</v>
      </c>
      <c r="D20" s="38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Jet-A CEA</vt:lpstr>
      <vt:lpstr>Turbine Trade Jet-A</vt:lpstr>
      <vt:lpstr>Ethanol CC CEA</vt:lpstr>
      <vt:lpstr>Turbine Trade Ethanol</vt:lpstr>
      <vt:lpstr>K Bottle Flow</vt:lpstr>
      <vt:lpstr>Pump Outlet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Morgan</dc:creator>
  <cp:lastModifiedBy>Brendan Morgan</cp:lastModifiedBy>
  <dcterms:created xsi:type="dcterms:W3CDTF">2025-06-01T00:19:51Z</dcterms:created>
  <dcterms:modified xsi:type="dcterms:W3CDTF">2025-10-26T03:50:03Z</dcterms:modified>
</cp:coreProperties>
</file>