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end\Desktop\Turbopump_Mark2\Concepts\"/>
    </mc:Choice>
  </mc:AlternateContent>
  <xr:revisionPtr revIDLastSave="0" documentId="13_ncr:1_{E370A6DF-2A57-4203-9F3E-D50431148B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9" i="1"/>
  <c r="C8" i="1"/>
  <c r="C7" i="1"/>
</calcChain>
</file>

<file path=xl/sharedStrings.xml><?xml version="1.0" encoding="utf-8"?>
<sst xmlns="http://schemas.openxmlformats.org/spreadsheetml/2006/main" count="17" uniqueCount="15">
  <si>
    <t>Ducting:</t>
  </si>
  <si>
    <t>https://www.mcmaster.com/products/~/duct-and-fittings~/shape~straight/material~aluminum-1/material~304-stainless-steel/component~duct/duct-profile~round/duct-size~8/duct-size~9/duct-size~10/duct-size~12/duct-size~14/duct-size~18/duct-size~24/?s=hvac</t>
  </si>
  <si>
    <t>Burst Factor</t>
  </si>
  <si>
    <t>Proof Factor</t>
  </si>
  <si>
    <t>Yield Factor</t>
  </si>
  <si>
    <t>Ult Factor</t>
  </si>
  <si>
    <t>304 ult strength</t>
  </si>
  <si>
    <t>ksi</t>
  </si>
  <si>
    <t>Mpa</t>
  </si>
  <si>
    <t>Thickness</t>
  </si>
  <si>
    <t>Diameter</t>
  </si>
  <si>
    <t>inches</t>
  </si>
  <si>
    <t>mm</t>
  </si>
  <si>
    <t>Max Pressure</t>
  </si>
  <si>
    <t>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</si>
</sst>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1"/>
    <xf numFmtId="2" fontId="0" fillId="0" borderId="0" xfId="0" applyNumberFormat="1"/>
    <xf numFmtId="1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53340</xdr:colOff>
      <xdr:row>4</xdr:row>
      <xdr:rowOff>11836</xdr:rowOff>
    </xdr:from>
    <xdr:to>
      <xdr:col>14</xdr:col>
      <xdr:colOff>587080</xdr:colOff>
      <xdr:row>25</xdr:row>
      <xdr:rowOff>31011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83A0CB-E11A-60A4-BB5B-602796EE0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0" y="743356"/>
          <a:ext cx="2469220" cy="3859655"/>
        </a:xfrm>
        <a:prstGeom prst="rect">
          <a:avLst/>
        </a:prstGeom>
        <a:ln w="57150">
          <a:solidFill>
            <a:srgbClr val="0070C0"/>
          </a:solidFill>
        </a:ln>
      </xdr:spPr>
    </xdr:pic>
    <xdr:clientData/>
  </xdr:twoCellAnchor>
  <xdr:twoCellAnchor editAs="oneCell">
    <xdr:from>
      <xdr:col>6</xdr:col>
      <xdr:colOff>60960</xdr:colOff>
      <xdr:row>16</xdr:row>
      <xdr:rowOff>173834</xdr:rowOff>
    </xdr:from>
    <xdr:to>
      <xdr:col>11</xdr:col>
      <xdr:colOff>511218</xdr:colOff>
      <xdr:row>26</xdr:row>
      <xdr:rowOff>30696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31BCE4-4C3B-830F-D3C5-AB728DD15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50180" y="3099914"/>
          <a:ext cx="5288958" cy="1685662"/>
        </a:xfrm>
        <a:prstGeom prst="rect">
          <a:avLst/>
        </a:prstGeom>
      </xdr:spPr>
    </xdr:pic>
    <xdr:clientData/>
  </xdr:twoCellAnchor>
  <xdr:twoCellAnchor editAs="oneCell">
    <xdr:from>
      <xdr:col>2</xdr:col>
      <xdr:colOff>777240</xdr:colOff>
      <xdr:row>14</xdr:row>
      <xdr:rowOff>7620</xdr:rowOff>
    </xdr:from>
    <xdr:to>
      <xdr:col>6</xdr:col>
      <xdr:colOff>664902</xdr:colOff>
      <xdr:row>35</xdr:row>
      <xdr:rowOff>99595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79DA80-980A-7A1D-A318-09C854162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0" y="2567940"/>
          <a:ext cx="2806122" cy="3932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mcmaster.com/products/~/duct-and-fittings~/shape~straight/material~aluminum-1/material~304-stainless-steel/component~duct/duct-profile~round/duct-size~8/duct-size~9/duct-size~10/duct-size~12/duct-size~14/duct-size~18/duct-size~24/?s=hv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J11"/>
  <sheetViews>
    <sheetView tabSelected="1" workbookViewId="0">
      <selection activeCell="J10" sqref="J10"/>
    </sheetView>
  </sheetViews>
  <sheetFormatPr defaultColWidth="14.109375" defaultRowHeight="14.4" x14ac:dyDescent="0.3"/>
  <cols>
    <col min="1" max="1" width="5.109375" customWidth="1"/>
    <col min="4" max="4" width="6.77734375" customWidth="1"/>
    <col min="6" max="6" width="7.5546875" customWidth="1"/>
  </cols>
  <sheetData>
    <row r="2" spans="2:10" x14ac:dyDescent="0.3">
      <c r="B2" s="4" t="s">
        <v>3</v>
      </c>
      <c r="C2" s="5">
        <v>1.1000000000000001</v>
      </c>
      <c r="J2" t="s">
        <v>0</v>
      </c>
    </row>
    <row r="3" spans="2:10" x14ac:dyDescent="0.3">
      <c r="B3" s="6" t="s">
        <v>2</v>
      </c>
      <c r="C3" s="7">
        <v>1.25</v>
      </c>
      <c r="J3" s="1" t="s">
        <v>1</v>
      </c>
    </row>
    <row r="4" spans="2:10" x14ac:dyDescent="0.3">
      <c r="B4" s="6" t="s">
        <v>4</v>
      </c>
      <c r="C4" s="7">
        <v>1.1000000000000001</v>
      </c>
    </row>
    <row r="5" spans="2:10" x14ac:dyDescent="0.3">
      <c r="B5" s="8" t="s">
        <v>5</v>
      </c>
      <c r="C5" s="9">
        <v>1.25</v>
      </c>
    </row>
    <row r="7" spans="2:10" x14ac:dyDescent="0.3">
      <c r="B7" t="s">
        <v>6</v>
      </c>
      <c r="C7" s="3">
        <f>6.89476*E7</f>
        <v>503.31747999999999</v>
      </c>
      <c r="D7" t="s">
        <v>8</v>
      </c>
      <c r="E7">
        <v>73</v>
      </c>
      <c r="F7" t="s">
        <v>7</v>
      </c>
    </row>
    <row r="8" spans="2:10" x14ac:dyDescent="0.3">
      <c r="B8" t="s">
        <v>10</v>
      </c>
      <c r="C8">
        <f>E8*25.4</f>
        <v>203.2</v>
      </c>
      <c r="D8" t="s">
        <v>12</v>
      </c>
      <c r="E8">
        <v>8</v>
      </c>
      <c r="F8" t="s">
        <v>11</v>
      </c>
    </row>
    <row r="9" spans="2:10" x14ac:dyDescent="0.3">
      <c r="B9" t="s">
        <v>9</v>
      </c>
      <c r="C9">
        <f>E9*25.4</f>
        <v>0.55879999999999996</v>
      </c>
      <c r="D9" t="s">
        <v>12</v>
      </c>
      <c r="E9">
        <v>2.1999999999999999E-2</v>
      </c>
      <c r="F9" t="s">
        <v>11</v>
      </c>
    </row>
    <row r="11" spans="2:10" x14ac:dyDescent="0.3">
      <c r="B11" t="s">
        <v>13</v>
      </c>
      <c r="C11" s="2">
        <f>C7*C9/(C8/2)/C3*10</f>
        <v>22.145969120000004</v>
      </c>
      <c r="D11" t="s">
        <v>14</v>
      </c>
    </row>
  </sheetData>
  <hyperlinks>
    <hyperlink ref="J3" r:id="rId1" xr:uid="{645C89A4-52B3-4768-B401-FEB68FD4E615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Morgan</dc:creator>
  <cp:lastModifiedBy>Brendan Morgan</cp:lastModifiedBy>
  <dcterms:created xsi:type="dcterms:W3CDTF">2015-06-05T18:17:20Z</dcterms:created>
  <dcterms:modified xsi:type="dcterms:W3CDTF">2025-11-17T07:02:00Z</dcterms:modified>
</cp:coreProperties>
</file>