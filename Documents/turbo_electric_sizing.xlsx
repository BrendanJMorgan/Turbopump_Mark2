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end\Desktop\Turbopump_Mark2\Documents\"/>
    </mc:Choice>
  </mc:AlternateContent>
  <xr:revisionPtr revIDLastSave="0" documentId="13_ncr:1_{EB651965-7DCD-4D3A-9F9E-F138976BFE37}" xr6:coauthVersionLast="47" xr6:coauthVersionMax="47" xr10:uidLastSave="{00000000-0000-0000-0000-000000000000}"/>
  <bookViews>
    <workbookView xWindow="2856" yWindow="2856" windowWidth="17280" windowHeight="9960" tabRatio="500" xr2:uid="{00000000-000D-0000-FFFF-FFFF00000000}"/>
  </bookViews>
  <sheets>
    <sheet name="Siz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" l="1"/>
  <c r="C57" i="1"/>
  <c r="C58" i="1" s="1"/>
  <c r="C77" i="1"/>
  <c r="C33" i="1"/>
  <c r="C63" i="1"/>
  <c r="C55" i="1"/>
  <c r="D55" i="1"/>
  <c r="C52" i="1"/>
  <c r="C39" i="1"/>
  <c r="C62" i="1"/>
  <c r="C21" i="1"/>
  <c r="C16" i="1"/>
  <c r="C72" i="1" s="1"/>
  <c r="D39" i="1"/>
  <c r="D63" i="1"/>
  <c r="C8" i="1"/>
  <c r="D9" i="1" s="1"/>
  <c r="D77" i="1"/>
  <c r="D52" i="1"/>
  <c r="D69" i="1"/>
  <c r="C69" i="1"/>
  <c r="D62" i="1"/>
  <c r="D57" i="1"/>
  <c r="D58" i="1" s="1"/>
  <c r="D21" i="1"/>
  <c r="D48" i="1" s="1"/>
  <c r="D61" i="1" s="1"/>
  <c r="D33" i="1"/>
  <c r="D16" i="1"/>
  <c r="D72" i="1" s="1"/>
  <c r="C17" i="1" l="1"/>
  <c r="C26" i="1" s="1"/>
  <c r="C29" i="1" s="1"/>
  <c r="C30" i="1" s="1"/>
  <c r="D56" i="1"/>
  <c r="C48" i="1"/>
  <c r="C36" i="1"/>
  <c r="C56" i="1"/>
  <c r="D10" i="1"/>
  <c r="C11" i="1" s="1"/>
  <c r="D49" i="1"/>
  <c r="D50" i="1" s="1"/>
  <c r="D51" i="1" s="1"/>
  <c r="C49" i="1" l="1"/>
  <c r="C50" i="1" s="1"/>
  <c r="C51" i="1" s="1"/>
  <c r="C27" i="1"/>
  <c r="C79" i="1"/>
  <c r="C61" i="1"/>
  <c r="C37" i="1"/>
  <c r="C65" i="1" s="1"/>
  <c r="C38" i="1"/>
  <c r="C40" i="1" s="1"/>
  <c r="D17" i="1"/>
  <c r="D37" i="1"/>
  <c r="D38" i="1"/>
  <c r="D40" i="1" s="1"/>
  <c r="D65" i="1" l="1"/>
  <c r="D66" i="1" s="1"/>
  <c r="D73" i="1" s="1"/>
  <c r="D74" i="1" s="1"/>
  <c r="C66" i="1"/>
  <c r="D26" i="1"/>
  <c r="D27" i="1" s="1"/>
  <c r="D79" i="1"/>
  <c r="C73" i="1" l="1"/>
  <c r="C74" i="1" s="1"/>
  <c r="D29" i="1"/>
  <c r="D30" i="1" s="1"/>
</calcChain>
</file>

<file path=xl/sharedStrings.xml><?xml version="1.0" encoding="utf-8"?>
<sst xmlns="http://schemas.openxmlformats.org/spreadsheetml/2006/main" count="166" uniqueCount="125">
  <si>
    <t>-</t>
  </si>
  <si>
    <t>Vacuum permeability</t>
  </si>
  <si>
    <t>H/m</t>
  </si>
  <si>
    <t>Ox pump shaft power (motor delivers)</t>
  </si>
  <si>
    <t>W</t>
  </si>
  <si>
    <t>Motor efficiency</t>
  </si>
  <si>
    <t>Cable efficiency</t>
  </si>
  <si>
    <t>Alternator efficiency</t>
  </si>
  <si>
    <t>Motor electrical input</t>
  </si>
  <si>
    <t>Alternator electrical output</t>
  </si>
  <si>
    <t>Round-trip efficiency</t>
  </si>
  <si>
    <t>Parameter</t>
  </si>
  <si>
    <t>Units</t>
  </si>
  <si>
    <t>Notes</t>
  </si>
  <si>
    <t>Shaft speed</t>
  </si>
  <si>
    <t>N</t>
  </si>
  <si>
    <t>rpm</t>
  </si>
  <si>
    <t>locked by turbine / pole ratio</t>
  </si>
  <si>
    <t>Pole count</t>
  </si>
  <si>
    <t>sets frequency</t>
  </si>
  <si>
    <t>Outer active radius</t>
  </si>
  <si>
    <t>m</t>
  </si>
  <si>
    <t>FIXED by impeller backdisk</t>
  </si>
  <si>
    <t>Inner active radius</t>
  </si>
  <si>
    <t>Physical airgap</t>
  </si>
  <si>
    <t>Can-floor thickness</t>
  </si>
  <si>
    <t>non-magnetic; adds to effective gap</t>
  </si>
  <si>
    <t>Bus voltage (line)</t>
  </si>
  <si>
    <t>V</t>
  </si>
  <si>
    <t>Airgap flux density</t>
  </si>
  <si>
    <t>T</t>
  </si>
  <si>
    <t>working value (sat-limited)</t>
  </si>
  <si>
    <t>Pa</t>
  </si>
  <si>
    <t>KEY cooling assumption; cryo allows high</t>
  </si>
  <si>
    <t>A/m</t>
  </si>
  <si>
    <t>cryo motor higher</t>
  </si>
  <si>
    <t>Back-iron flux density max</t>
  </si>
  <si>
    <t>Slot count</t>
  </si>
  <si>
    <t>q=1 distributed</t>
  </si>
  <si>
    <t>Turns per coil</t>
  </si>
  <si>
    <t>Tooth width fraction of slot pitch</t>
  </si>
  <si>
    <t>Power factor</t>
  </si>
  <si>
    <t>reluctance poor PF</t>
  </si>
  <si>
    <t>Fluid density</t>
  </si>
  <si>
    <t>kg/m³</t>
  </si>
  <si>
    <t>Copper resistivity</t>
  </si>
  <si>
    <t>Ω·m</t>
  </si>
  <si>
    <t>cryo vs warm</t>
  </si>
  <si>
    <t>Core specific loss</t>
  </si>
  <si>
    <t>W/kg</t>
  </si>
  <si>
    <t>at f,B for lamination grade</t>
  </si>
  <si>
    <t>Core mass</t>
  </si>
  <si>
    <t>kg</t>
  </si>
  <si>
    <t>Windage moment coeff</t>
  </si>
  <si>
    <t>disk friction; sensitive to gap/Re</t>
  </si>
  <si>
    <t>Conductor current density</t>
  </si>
  <si>
    <t>cryo motor elevated</t>
  </si>
  <si>
    <t>Cable current density</t>
  </si>
  <si>
    <t>Pull-out margin factor</t>
  </si>
  <si>
    <t>rad/s</t>
  </si>
  <si>
    <t>Electrical frequency</t>
  </si>
  <si>
    <t>Hz</t>
  </si>
  <si>
    <t>Design torque</t>
  </si>
  <si>
    <t>N·m</t>
  </si>
  <si>
    <t>Mean radius</t>
  </si>
  <si>
    <t>Effective airgap</t>
  </si>
  <si>
    <t>from axial-flux torque eq</t>
  </si>
  <si>
    <t>σ = B·A (effective)</t>
  </si>
  <si>
    <t>Flux per pole</t>
  </si>
  <si>
    <t>Wb</t>
  </si>
  <si>
    <t>Tooth width</t>
  </si>
  <si>
    <t>Tooth flux density</t>
  </si>
  <si>
    <t>Back-iron radial depth</t>
  </si>
  <si>
    <t>half-pole flux path</t>
  </si>
  <si>
    <t>Phase current (rms)</t>
  </si>
  <si>
    <t>A</t>
  </si>
  <si>
    <t>Cable conductor area</t>
  </si>
  <si>
    <t>per phase conductor</t>
  </si>
  <si>
    <t>Mean turn length</t>
  </si>
  <si>
    <t>Turns per phase</t>
  </si>
  <si>
    <t>Phase resistance</t>
  </si>
  <si>
    <t>Ω</t>
  </si>
  <si>
    <t>Copper loss</t>
  </si>
  <si>
    <t>cryo-reduced on motor</t>
  </si>
  <si>
    <t>Iron loss (stator core)</t>
  </si>
  <si>
    <t>∝ f² — thin laminations</t>
  </si>
  <si>
    <t>Windage / churning</t>
  </si>
  <si>
    <t>∝ ω³ r⁵ — submerged disk</t>
  </si>
  <si>
    <t>Total loss</t>
  </si>
  <si>
    <t>Machine efficiency (computed)</t>
  </si>
  <si>
    <t>compare to input η</t>
  </si>
  <si>
    <t>Axial magnetic pull</t>
  </si>
  <si>
    <t>Magnetic negative stiffness</t>
  </si>
  <si>
    <t>N/m</t>
  </si>
  <si>
    <t>support stiffness must exceed</t>
  </si>
  <si>
    <t>Torque capability at σ_max</t>
  </si>
  <si>
    <t>ALTERNATOR</t>
  </si>
  <si>
    <t>MOTOR</t>
  </si>
  <si>
    <t>Alternator shaft power</t>
  </si>
  <si>
    <t>Reluctance</t>
  </si>
  <si>
    <t>Permanent Magnet</t>
  </si>
  <si>
    <t>LOX / Jet-A</t>
  </si>
  <si>
    <t>m2</t>
  </si>
  <si>
    <t>Electric Circuit</t>
  </si>
  <si>
    <t>Electric Loading Allowable</t>
  </si>
  <si>
    <t>Shear Stress Applied</t>
  </si>
  <si>
    <t>Shear Stress Allowable (cooling-limited)</t>
  </si>
  <si>
    <t>Electric-loading FS</t>
  </si>
  <si>
    <t>Shear-stress FS</t>
  </si>
  <si>
    <t>Electric Loading Applied</t>
  </si>
  <si>
    <t>Tooth flux density allowable</t>
  </si>
  <si>
    <t>Tooth Flux FS</t>
  </si>
  <si>
    <t>avoids tooth saturation</t>
  </si>
  <si>
    <t>Magnetic Circuit</t>
  </si>
  <si>
    <t>Slot pitch at mean radius</t>
  </si>
  <si>
    <t>perimeter of a winding</t>
  </si>
  <si>
    <t>Conductor cross section</t>
  </si>
  <si>
    <t>Cable minimum diameter</t>
  </si>
  <si>
    <t>FEASIBILITY GATES</t>
  </si>
  <si>
    <t>Pull-out FS</t>
  </si>
  <si>
    <t>Geometry</t>
  </si>
  <si>
    <t>LOSSES &amp; EFFICIENCY</t>
  </si>
  <si>
    <t>PULL-OUT MARGIN</t>
  </si>
  <si>
    <t>Power Chain</t>
  </si>
  <si>
    <t>avoids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</si>
</sst>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E+00"/>
    <numFmt numFmtId="166" formatCode="0.0%"/>
    <numFmt numFmtId="167" formatCode="#,##0.0000"/>
    <numFmt numFmtId="168" formatCode="#,##0.0"/>
    <numFmt numFmtId="172" formatCode="#,##0.00000000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1F3864"/>
      <name val="Arial"/>
      <family val="2"/>
    </font>
    <font>
      <sz val="9"/>
      <color rgb="FF595959"/>
      <name val="Arial"/>
      <family val="2"/>
    </font>
    <font>
      <sz val="12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C6EFCE"/>
      </patternFill>
    </fill>
    <fill>
      <patternFill patternType="solid">
        <fgColor rgb="FFFFF2CC"/>
        <bgColor rgb="FFFFFFC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5" fontId="2" fillId="0" borderId="0" xfId="0" applyNumberFormat="1" applyFont="1" applyAlignment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3" fillId="3" borderId="0" xfId="0" applyFont="1" applyFill="1"/>
    <xf numFmtId="0" fontId="1" fillId="3" borderId="0" xfId="0" applyFont="1" applyFill="1"/>
    <xf numFmtId="3" fontId="2" fillId="4" borderId="0" xfId="0" applyNumberFormat="1" applyFont="1" applyFill="1" applyAlignment="1">
      <alignment horizontal="center" vertical="center"/>
    </xf>
    <xf numFmtId="0" fontId="4" fillId="0" borderId="0" xfId="0" applyFont="1"/>
    <xf numFmtId="166" fontId="2" fillId="4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/>
    <xf numFmtId="167" fontId="2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/>
    <xf numFmtId="167" fontId="2" fillId="4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167" fontId="1" fillId="0" borderId="0" xfId="0" applyNumberFormat="1" applyFont="1" applyBorder="1" applyAlignment="1">
      <alignment horizontal="center" vertical="center"/>
    </xf>
    <xf numFmtId="0" fontId="1" fillId="0" borderId="6" xfId="0" applyFont="1" applyBorder="1"/>
    <xf numFmtId="3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164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165" fontId="2" fillId="4" borderId="0" xfId="0" applyNumberFormat="1" applyFont="1" applyFill="1" applyAlignment="1">
      <alignment horizontal="center" vertical="center"/>
    </xf>
    <xf numFmtId="168" fontId="2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Fill="1"/>
    <xf numFmtId="0" fontId="6" fillId="0" borderId="3" xfId="0" applyFont="1" applyBorder="1"/>
    <xf numFmtId="0" fontId="6" fillId="0" borderId="5" xfId="0" applyFont="1" applyBorder="1"/>
    <xf numFmtId="165" fontId="1" fillId="0" borderId="2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9"/>
  <sheetViews>
    <sheetView tabSelected="1" topLeftCell="A24" zoomScaleNormal="100" workbookViewId="0">
      <selection activeCell="F32" sqref="F32"/>
    </sheetView>
  </sheetViews>
  <sheetFormatPr defaultColWidth="8.6640625" defaultRowHeight="14.4" x14ac:dyDescent="0.3"/>
  <cols>
    <col min="1" max="1" width="4.88671875" style="3" customWidth="1"/>
    <col min="2" max="2" width="38.5546875" style="3" customWidth="1"/>
    <col min="3" max="3" width="21.44140625" style="3" customWidth="1"/>
    <col min="4" max="4" width="20.88671875" style="3" customWidth="1"/>
    <col min="5" max="5" width="9" style="3" customWidth="1"/>
    <col min="6" max="6" width="34" style="40" customWidth="1"/>
    <col min="7" max="16384" width="8.6640625" style="3"/>
  </cols>
  <sheetData>
    <row r="2" spans="2:6" x14ac:dyDescent="0.3">
      <c r="B2" s="5" t="s">
        <v>123</v>
      </c>
      <c r="C2" s="6"/>
      <c r="D2" s="6"/>
      <c r="E2" s="6"/>
      <c r="F2" s="6"/>
    </row>
    <row r="3" spans="2:6" x14ac:dyDescent="0.3">
      <c r="B3" s="1" t="s">
        <v>1</v>
      </c>
      <c r="C3" s="2">
        <v>1.2566370599999999E-6</v>
      </c>
      <c r="E3" s="4" t="s">
        <v>2</v>
      </c>
    </row>
    <row r="4" spans="2:6" x14ac:dyDescent="0.3">
      <c r="B4" s="1" t="s">
        <v>3</v>
      </c>
      <c r="C4" s="7">
        <v>18116</v>
      </c>
      <c r="E4" s="4" t="s">
        <v>4</v>
      </c>
      <c r="F4" s="8"/>
    </row>
    <row r="5" spans="2:6" x14ac:dyDescent="0.3">
      <c r="B5" s="1" t="s">
        <v>5</v>
      </c>
      <c r="C5" s="9">
        <v>0.93</v>
      </c>
      <c r="E5" s="4" t="s">
        <v>0</v>
      </c>
    </row>
    <row r="6" spans="2:6" x14ac:dyDescent="0.3">
      <c r="B6" s="1" t="s">
        <v>6</v>
      </c>
      <c r="C6" s="9">
        <v>0.99</v>
      </c>
      <c r="E6" s="4" t="s">
        <v>0</v>
      </c>
    </row>
    <row r="7" spans="2:6" x14ac:dyDescent="0.3">
      <c r="B7" s="1" t="s">
        <v>7</v>
      </c>
      <c r="D7" s="9">
        <v>0.93</v>
      </c>
      <c r="E7" s="4" t="s">
        <v>0</v>
      </c>
    </row>
    <row r="8" spans="2:6" x14ac:dyDescent="0.3">
      <c r="B8" s="1" t="s">
        <v>8</v>
      </c>
      <c r="C8" s="10">
        <f>C4/C5</f>
        <v>19479.569892473119</v>
      </c>
      <c r="E8" s="4" t="s">
        <v>4</v>
      </c>
    </row>
    <row r="9" spans="2:6" x14ac:dyDescent="0.3">
      <c r="B9" s="1" t="s">
        <v>9</v>
      </c>
      <c r="D9" s="10">
        <f>C8/C6</f>
        <v>19676.333224720322</v>
      </c>
      <c r="E9" s="4" t="s">
        <v>4</v>
      </c>
    </row>
    <row r="10" spans="2:6" x14ac:dyDescent="0.3">
      <c r="B10" s="1" t="s">
        <v>98</v>
      </c>
      <c r="D10" s="10">
        <f>D9/D7</f>
        <v>21157.34755346271</v>
      </c>
      <c r="E10" s="4" t="s">
        <v>4</v>
      </c>
    </row>
    <row r="11" spans="2:6" x14ac:dyDescent="0.3">
      <c r="B11" s="1" t="s">
        <v>10</v>
      </c>
      <c r="C11" s="11">
        <f>C4/D10</f>
        <v>0.85625099999999998</v>
      </c>
      <c r="E11" s="4" t="s">
        <v>0</v>
      </c>
    </row>
    <row r="13" spans="2:6" ht="15.6" x14ac:dyDescent="0.3">
      <c r="B13" s="12" t="s">
        <v>11</v>
      </c>
      <c r="C13" s="13" t="s">
        <v>97</v>
      </c>
      <c r="D13" s="13" t="s">
        <v>96</v>
      </c>
      <c r="E13" s="13" t="s">
        <v>12</v>
      </c>
      <c r="F13" s="13" t="s">
        <v>13</v>
      </c>
    </row>
    <row r="14" spans="2:6" x14ac:dyDescent="0.3">
      <c r="B14" s="5" t="s">
        <v>120</v>
      </c>
      <c r="C14" s="14" t="s">
        <v>99</v>
      </c>
      <c r="D14" s="14" t="s">
        <v>100</v>
      </c>
      <c r="E14" s="6"/>
      <c r="F14" s="6"/>
    </row>
    <row r="15" spans="2:6" x14ac:dyDescent="0.3">
      <c r="B15" s="1" t="s">
        <v>14</v>
      </c>
      <c r="C15" s="7">
        <v>15000</v>
      </c>
      <c r="D15" s="7">
        <v>30000</v>
      </c>
      <c r="E15" s="4" t="s">
        <v>16</v>
      </c>
      <c r="F15" s="15" t="s">
        <v>17</v>
      </c>
    </row>
    <row r="16" spans="2:6" x14ac:dyDescent="0.3">
      <c r="B16" s="1"/>
      <c r="C16" s="16">
        <f>C15*PI()/30</f>
        <v>1570.7963267948967</v>
      </c>
      <c r="D16" s="16">
        <f>D15*PI()/30</f>
        <v>3141.5926535897934</v>
      </c>
      <c r="E16" s="4" t="s">
        <v>59</v>
      </c>
      <c r="F16" s="15"/>
    </row>
    <row r="17" spans="2:6" x14ac:dyDescent="0.3">
      <c r="B17" s="1" t="s">
        <v>62</v>
      </c>
      <c r="C17" s="16">
        <f>$C$4/C16</f>
        <v>11.533003796211103</v>
      </c>
      <c r="D17" s="16">
        <f>$D$10/D16</f>
        <v>6.7345928916936169</v>
      </c>
      <c r="E17" s="4" t="s">
        <v>63</v>
      </c>
      <c r="F17" s="15"/>
    </row>
    <row r="18" spans="2:6" x14ac:dyDescent="0.3">
      <c r="B18" s="1" t="s">
        <v>18</v>
      </c>
      <c r="C18" s="7">
        <v>6</v>
      </c>
      <c r="D18" s="7">
        <v>6</v>
      </c>
      <c r="E18" s="4" t="s">
        <v>0</v>
      </c>
      <c r="F18" s="15" t="s">
        <v>19</v>
      </c>
    </row>
    <row r="19" spans="2:6" x14ac:dyDescent="0.3">
      <c r="B19" s="1" t="s">
        <v>20</v>
      </c>
      <c r="C19" s="17">
        <v>0.05</v>
      </c>
      <c r="D19" s="17">
        <v>4.4999999999999998E-2</v>
      </c>
      <c r="E19" s="4" t="s">
        <v>21</v>
      </c>
      <c r="F19" s="15" t="s">
        <v>22</v>
      </c>
    </row>
    <row r="20" spans="2:6" x14ac:dyDescent="0.3">
      <c r="B20" s="1" t="s">
        <v>23</v>
      </c>
      <c r="C20" s="17">
        <v>0.01</v>
      </c>
      <c r="D20" s="17">
        <v>0.01</v>
      </c>
      <c r="E20" s="4" t="s">
        <v>21</v>
      </c>
    </row>
    <row r="21" spans="2:6" x14ac:dyDescent="0.3">
      <c r="B21" s="1" t="s">
        <v>64</v>
      </c>
      <c r="C21" s="18">
        <f>(C19+C20)/2</f>
        <v>3.0000000000000002E-2</v>
      </c>
      <c r="D21" s="18">
        <f>(D19+D20)/2</f>
        <v>2.75E-2</v>
      </c>
      <c r="E21" s="4" t="s">
        <v>21</v>
      </c>
    </row>
    <row r="22" spans="2:6" x14ac:dyDescent="0.3">
      <c r="B22" s="1"/>
      <c r="C22" s="18"/>
      <c r="D22" s="18"/>
      <c r="E22" s="4"/>
    </row>
    <row r="23" spans="2:6" x14ac:dyDescent="0.3">
      <c r="B23" s="5" t="s">
        <v>118</v>
      </c>
      <c r="C23" s="6"/>
      <c r="D23" s="6"/>
      <c r="E23" s="6"/>
      <c r="F23" s="6"/>
    </row>
    <row r="24" spans="2:6" x14ac:dyDescent="0.3">
      <c r="B24" s="1" t="s">
        <v>29</v>
      </c>
      <c r="C24" s="19">
        <v>0.9</v>
      </c>
      <c r="D24" s="19">
        <v>0.95</v>
      </c>
      <c r="E24" s="4" t="s">
        <v>30</v>
      </c>
      <c r="F24" s="15" t="s">
        <v>31</v>
      </c>
    </row>
    <row r="25" spans="2:6" x14ac:dyDescent="0.3">
      <c r="B25" s="1" t="s">
        <v>106</v>
      </c>
      <c r="C25" s="7">
        <v>60000</v>
      </c>
      <c r="D25" s="7">
        <v>55000</v>
      </c>
      <c r="E25" s="4" t="s">
        <v>32</v>
      </c>
      <c r="F25" s="15" t="s">
        <v>33</v>
      </c>
    </row>
    <row r="26" spans="2:6" x14ac:dyDescent="0.3">
      <c r="B26" s="1" t="s">
        <v>105</v>
      </c>
      <c r="C26" s="10">
        <f>C17/((2*PI()/3)*(C19^3-C20^3))</f>
        <v>44408.094262853003</v>
      </c>
      <c r="D26" s="10">
        <f>D17/((2*PI()/3)*(D19^3-D20^3))</f>
        <v>35678.571376130283</v>
      </c>
      <c r="E26" s="4" t="s">
        <v>32</v>
      </c>
      <c r="F26" s="15" t="s">
        <v>66</v>
      </c>
    </row>
    <row r="27" spans="2:6" x14ac:dyDescent="0.3">
      <c r="B27" s="1" t="s">
        <v>108</v>
      </c>
      <c r="C27" s="20">
        <f>C25/C26</f>
        <v>1.3511050405553993</v>
      </c>
      <c r="D27" s="20">
        <f>D25/D26</f>
        <v>1.541541543807333</v>
      </c>
      <c r="E27" s="4" t="s">
        <v>0</v>
      </c>
      <c r="F27" s="15" t="s">
        <v>124</v>
      </c>
    </row>
    <row r="28" spans="2:6" x14ac:dyDescent="0.3">
      <c r="B28" s="1" t="s">
        <v>104</v>
      </c>
      <c r="C28" s="7">
        <v>90000</v>
      </c>
      <c r="D28" s="7">
        <v>60000</v>
      </c>
      <c r="E28" s="4" t="s">
        <v>34</v>
      </c>
      <c r="F28" s="15" t="s">
        <v>35</v>
      </c>
    </row>
    <row r="29" spans="2:6" x14ac:dyDescent="0.3">
      <c r="B29" s="1" t="s">
        <v>109</v>
      </c>
      <c r="C29" s="10">
        <f>C26/C24</f>
        <v>49342.326958725556</v>
      </c>
      <c r="D29" s="10">
        <f>D26/D24</f>
        <v>37556.390922242404</v>
      </c>
      <c r="E29" s="4" t="s">
        <v>34</v>
      </c>
      <c r="F29" s="15" t="s">
        <v>67</v>
      </c>
    </row>
    <row r="30" spans="2:6" x14ac:dyDescent="0.3">
      <c r="B30" s="1" t="s">
        <v>107</v>
      </c>
      <c r="C30" s="20">
        <f>C28/C29</f>
        <v>1.8239918047497892</v>
      </c>
      <c r="D30" s="20">
        <f>D28/D29</f>
        <v>1.5975975999457814</v>
      </c>
      <c r="E30" s="4" t="s">
        <v>0</v>
      </c>
    </row>
    <row r="31" spans="2:6" x14ac:dyDescent="0.3">
      <c r="B31" s="1"/>
      <c r="C31" s="18"/>
      <c r="D31" s="18"/>
      <c r="E31" s="4"/>
    </row>
    <row r="32" spans="2:6" x14ac:dyDescent="0.3">
      <c r="B32" s="5" t="s">
        <v>103</v>
      </c>
      <c r="C32" s="6"/>
      <c r="D32" s="6"/>
      <c r="E32" s="6"/>
      <c r="F32" s="6"/>
    </row>
    <row r="33" spans="2:6" x14ac:dyDescent="0.3">
      <c r="B33" s="1" t="s">
        <v>60</v>
      </c>
      <c r="C33" s="10">
        <f>C15*C18/60/2</f>
        <v>750</v>
      </c>
      <c r="D33" s="10">
        <f>D15*D18/120</f>
        <v>1500</v>
      </c>
      <c r="E33" s="4" t="s">
        <v>61</v>
      </c>
    </row>
    <row r="34" spans="2:6" x14ac:dyDescent="0.3">
      <c r="B34" s="1" t="s">
        <v>27</v>
      </c>
      <c r="C34" s="7">
        <v>300</v>
      </c>
      <c r="D34" s="7">
        <v>300</v>
      </c>
      <c r="E34" s="4" t="s">
        <v>28</v>
      </c>
    </row>
    <row r="35" spans="2:6" x14ac:dyDescent="0.3">
      <c r="B35" s="1" t="s">
        <v>41</v>
      </c>
      <c r="C35" s="19">
        <v>0.65</v>
      </c>
      <c r="D35" s="19">
        <v>0.9</v>
      </c>
      <c r="E35" s="4" t="s">
        <v>0</v>
      </c>
      <c r="F35" s="15" t="s">
        <v>42</v>
      </c>
    </row>
    <row r="36" spans="2:6" x14ac:dyDescent="0.3">
      <c r="B36" s="1" t="s">
        <v>74</v>
      </c>
      <c r="C36" s="16">
        <f>C8/(SQRT(3)*C34*C35)</f>
        <v>57.67453805701274</v>
      </c>
      <c r="D36" s="16">
        <f>D9/(SQRT(3)*D34*D35)</f>
        <v>42.074578829470575</v>
      </c>
      <c r="E36" s="4" t="s">
        <v>75</v>
      </c>
    </row>
    <row r="37" spans="2:6" x14ac:dyDescent="0.3">
      <c r="B37" s="1" t="s">
        <v>116</v>
      </c>
      <c r="C37" s="21">
        <f>C36/C63</f>
        <v>2.8837269028506371E-6</v>
      </c>
      <c r="D37" s="21">
        <f>D36/D63</f>
        <v>5.2593223536838214E-6</v>
      </c>
      <c r="E37" s="4" t="s">
        <v>102</v>
      </c>
    </row>
    <row r="38" spans="2:6" x14ac:dyDescent="0.3">
      <c r="B38" s="1" t="s">
        <v>76</v>
      </c>
      <c r="C38" s="21">
        <f>C36/C39</f>
        <v>1.1534907611402548E-5</v>
      </c>
      <c r="D38" s="21">
        <f>D36/D39</f>
        <v>8.4149157658941153E-6</v>
      </c>
      <c r="E38" s="4" t="s">
        <v>102</v>
      </c>
    </row>
    <row r="39" spans="2:6" x14ac:dyDescent="0.3">
      <c r="B39" s="1" t="s">
        <v>57</v>
      </c>
      <c r="C39" s="7">
        <f>5*1000^2</f>
        <v>5000000</v>
      </c>
      <c r="D39" s="7">
        <f>5*1000^2</f>
        <v>5000000</v>
      </c>
      <c r="E39" s="4" t="s">
        <v>75</v>
      </c>
    </row>
    <row r="40" spans="2:6" x14ac:dyDescent="0.3">
      <c r="B40" s="1" t="s">
        <v>117</v>
      </c>
      <c r="C40" s="18">
        <f>SQRT(4*C38/PI())</f>
        <v>3.8323231225595193E-3</v>
      </c>
      <c r="D40" s="18">
        <f>SQRT(4*D38/PI())</f>
        <v>3.2732557979406021E-3</v>
      </c>
      <c r="E40" s="4" t="s">
        <v>21</v>
      </c>
      <c r="F40" s="15" t="s">
        <v>77</v>
      </c>
    </row>
    <row r="41" spans="2:6" x14ac:dyDescent="0.3">
      <c r="B41" s="1"/>
      <c r="C41" s="22"/>
      <c r="D41" s="22"/>
      <c r="E41" s="23"/>
      <c r="F41" s="41"/>
    </row>
    <row r="42" spans="2:6" x14ac:dyDescent="0.3">
      <c r="B42" s="5" t="s">
        <v>113</v>
      </c>
      <c r="C42" s="6"/>
      <c r="D42" s="6"/>
      <c r="E42" s="6"/>
      <c r="F42" s="6"/>
    </row>
    <row r="43" spans="2:6" x14ac:dyDescent="0.3">
      <c r="B43" s="1" t="s">
        <v>110</v>
      </c>
      <c r="C43" s="19">
        <v>1.8</v>
      </c>
      <c r="D43" s="19">
        <v>1.8</v>
      </c>
      <c r="E43" s="4" t="s">
        <v>30</v>
      </c>
    </row>
    <row r="44" spans="2:6" x14ac:dyDescent="0.3">
      <c r="B44" s="1" t="s">
        <v>36</v>
      </c>
      <c r="C44" s="19">
        <v>1.5</v>
      </c>
      <c r="D44" s="19">
        <v>1.5</v>
      </c>
      <c r="E44" s="4" t="s">
        <v>30</v>
      </c>
    </row>
    <row r="45" spans="2:6" x14ac:dyDescent="0.3">
      <c r="B45" s="1" t="s">
        <v>37</v>
      </c>
      <c r="C45" s="7">
        <v>18</v>
      </c>
      <c r="D45" s="7">
        <v>18</v>
      </c>
      <c r="E45" s="4" t="s">
        <v>0</v>
      </c>
      <c r="F45" s="15" t="s">
        <v>38</v>
      </c>
    </row>
    <row r="46" spans="2:6" x14ac:dyDescent="0.3">
      <c r="B46" s="1" t="s">
        <v>39</v>
      </c>
      <c r="C46" s="7">
        <v>10</v>
      </c>
      <c r="D46" s="7">
        <v>10</v>
      </c>
      <c r="E46" s="4" t="s">
        <v>0</v>
      </c>
    </row>
    <row r="47" spans="2:6" x14ac:dyDescent="0.3">
      <c r="B47" s="1" t="s">
        <v>40</v>
      </c>
      <c r="C47" s="19">
        <v>0.7</v>
      </c>
      <c r="D47" s="19">
        <v>0.7</v>
      </c>
      <c r="E47" s="4" t="s">
        <v>0</v>
      </c>
    </row>
    <row r="48" spans="2:6" x14ac:dyDescent="0.3">
      <c r="B48" s="1" t="s">
        <v>114</v>
      </c>
      <c r="C48" s="18">
        <f>2*PI()*C21/C45</f>
        <v>1.0471975511965978E-2</v>
      </c>
      <c r="D48" s="18">
        <f>2*PI()*D21/D45</f>
        <v>9.599310885968812E-3</v>
      </c>
      <c r="E48" s="4" t="s">
        <v>21</v>
      </c>
    </row>
    <row r="49" spans="2:6" x14ac:dyDescent="0.3">
      <c r="B49" s="1" t="s">
        <v>70</v>
      </c>
      <c r="C49" s="18">
        <f>C47*C48</f>
        <v>7.3303828583761842E-3</v>
      </c>
      <c r="D49" s="18">
        <f>D47*D48</f>
        <v>6.7195176201781679E-3</v>
      </c>
      <c r="E49" s="4" t="s">
        <v>21</v>
      </c>
    </row>
    <row r="50" spans="2:6" x14ac:dyDescent="0.3">
      <c r="B50" s="1" t="s">
        <v>71</v>
      </c>
      <c r="C50" s="16">
        <f>C24*C48/C49</f>
        <v>1.2857142857142858</v>
      </c>
      <c r="D50" s="16">
        <f>D24*D48/D49</f>
        <v>1.3571428571428572</v>
      </c>
      <c r="E50" s="4" t="s">
        <v>30</v>
      </c>
    </row>
    <row r="51" spans="2:6" x14ac:dyDescent="0.3">
      <c r="B51" s="1" t="s">
        <v>111</v>
      </c>
      <c r="C51" s="16">
        <f>C43/C50</f>
        <v>1.4</v>
      </c>
      <c r="D51" s="16">
        <f>D43/D50</f>
        <v>1.3263157894736841</v>
      </c>
      <c r="E51" s="4"/>
      <c r="F51" s="40" t="s">
        <v>112</v>
      </c>
    </row>
    <row r="52" spans="2:6" x14ac:dyDescent="0.3">
      <c r="B52" s="1" t="s">
        <v>91</v>
      </c>
      <c r="C52" s="10">
        <f>(C24^2/(2*$C$3))*PI()*(C19^2-C20^2)*0.5</f>
        <v>1215.0000013883403</v>
      </c>
      <c r="D52" s="10">
        <f>(D24^2/(2*$C$3))*PI()*(D19^2-D20^2)*0.5</f>
        <v>1085.8203137407306</v>
      </c>
      <c r="E52" s="4" t="s">
        <v>15</v>
      </c>
      <c r="F52" s="15"/>
    </row>
    <row r="53" spans="2:6" x14ac:dyDescent="0.3">
      <c r="B53" s="24" t="s">
        <v>24</v>
      </c>
      <c r="C53" s="25">
        <v>5.0000000000000001E-4</v>
      </c>
      <c r="D53" s="25">
        <v>5.0000000000000001E-4</v>
      </c>
      <c r="E53" s="26" t="s">
        <v>21</v>
      </c>
      <c r="F53" s="42"/>
    </row>
    <row r="54" spans="2:6" x14ac:dyDescent="0.3">
      <c r="B54" s="27" t="s">
        <v>25</v>
      </c>
      <c r="C54" s="28">
        <v>1E-3</v>
      </c>
      <c r="D54" s="28">
        <v>1E-3</v>
      </c>
      <c r="E54" s="29" t="s">
        <v>21</v>
      </c>
      <c r="F54" s="30" t="s">
        <v>26</v>
      </c>
    </row>
    <row r="55" spans="2:6" x14ac:dyDescent="0.3">
      <c r="B55" s="27" t="s">
        <v>65</v>
      </c>
      <c r="C55" s="31">
        <f>C53+C54</f>
        <v>1.5E-3</v>
      </c>
      <c r="D55" s="31">
        <f>D53+D54</f>
        <v>1.5E-3</v>
      </c>
      <c r="E55" s="29" t="s">
        <v>21</v>
      </c>
      <c r="F55" s="43"/>
    </row>
    <row r="56" spans="2:6" x14ac:dyDescent="0.3">
      <c r="B56" s="32" t="s">
        <v>92</v>
      </c>
      <c r="C56" s="33">
        <f>2*C52/C55</f>
        <v>1620000.0018511203</v>
      </c>
      <c r="D56" s="33">
        <f>2*D52/D55</f>
        <v>1447760.4183209741</v>
      </c>
      <c r="E56" s="34" t="s">
        <v>93</v>
      </c>
      <c r="F56" s="35" t="s">
        <v>94</v>
      </c>
    </row>
    <row r="57" spans="2:6" x14ac:dyDescent="0.3">
      <c r="B57" s="24" t="s">
        <v>68</v>
      </c>
      <c r="C57" s="44">
        <f>C24*PI()*(C19^2-C20^2)/C18</f>
        <v>1.1309733552923259E-3</v>
      </c>
      <c r="D57" s="44">
        <f>D24*PI()*(D19^2-D20^2)/D18</f>
        <v>9.5753126087538885E-4</v>
      </c>
      <c r="E57" s="26" t="s">
        <v>69</v>
      </c>
      <c r="F57" s="42"/>
    </row>
    <row r="58" spans="2:6" x14ac:dyDescent="0.3">
      <c r="B58" s="32" t="s">
        <v>72</v>
      </c>
      <c r="C58" s="45">
        <f>C57/(2*C44*(C19-C20))</f>
        <v>9.424777960769383E-3</v>
      </c>
      <c r="D58" s="45">
        <f>D57/(2*D44*(D19-D20))</f>
        <v>9.1193453416703717E-3</v>
      </c>
      <c r="E58" s="34" t="s">
        <v>21</v>
      </c>
      <c r="F58" s="35" t="s">
        <v>73</v>
      </c>
    </row>
    <row r="59" spans="2:6" x14ac:dyDescent="0.3">
      <c r="B59" s="1"/>
      <c r="C59" s="36"/>
      <c r="D59" s="36"/>
      <c r="E59" s="23"/>
      <c r="F59" s="37"/>
    </row>
    <row r="60" spans="2:6" x14ac:dyDescent="0.3">
      <c r="B60" s="5" t="s">
        <v>121</v>
      </c>
      <c r="C60" s="6"/>
      <c r="D60" s="6"/>
      <c r="E60" s="6"/>
      <c r="F60" s="6"/>
    </row>
    <row r="61" spans="2:6" x14ac:dyDescent="0.3">
      <c r="B61" s="1" t="s">
        <v>78</v>
      </c>
      <c r="C61" s="18">
        <f>2*(C19-C20)+2*C48</f>
        <v>0.10094395102393196</v>
      </c>
      <c r="D61" s="18">
        <f>2*(D19-D20)+2*D48</f>
        <v>8.9198621771937617E-2</v>
      </c>
      <c r="E61" s="4" t="s">
        <v>21</v>
      </c>
      <c r="F61" s="40" t="s">
        <v>115</v>
      </c>
    </row>
    <row r="62" spans="2:6" x14ac:dyDescent="0.3">
      <c r="B62" s="1" t="s">
        <v>79</v>
      </c>
      <c r="C62" s="10">
        <f>(C45/3)*C46</f>
        <v>60</v>
      </c>
      <c r="D62" s="10">
        <f>(D45/3)*D46</f>
        <v>60</v>
      </c>
      <c r="E62" s="4" t="s">
        <v>0</v>
      </c>
    </row>
    <row r="63" spans="2:6" x14ac:dyDescent="0.3">
      <c r="B63" s="1" t="s">
        <v>55</v>
      </c>
      <c r="C63" s="7">
        <f>20*1000^2</f>
        <v>20000000</v>
      </c>
      <c r="D63" s="7">
        <f>8*1000^2</f>
        <v>8000000</v>
      </c>
      <c r="E63" s="4" t="s">
        <v>75</v>
      </c>
      <c r="F63" s="15" t="s">
        <v>56</v>
      </c>
    </row>
    <row r="64" spans="2:6" x14ac:dyDescent="0.3">
      <c r="B64" s="1" t="s">
        <v>45</v>
      </c>
      <c r="C64" s="38">
        <v>3E-9</v>
      </c>
      <c r="D64" s="38">
        <v>1.7999999999999999E-8</v>
      </c>
      <c r="E64" s="4" t="s">
        <v>46</v>
      </c>
      <c r="F64" s="15" t="s">
        <v>47</v>
      </c>
    </row>
    <row r="65" spans="2:6" x14ac:dyDescent="0.3">
      <c r="B65" s="1" t="s">
        <v>80</v>
      </c>
      <c r="C65" s="18">
        <f>C64*C62*C61/C37</f>
        <v>6.3008432477937963E-3</v>
      </c>
      <c r="D65" s="18">
        <f>D64*D62*D61/D37</f>
        <v>1.8316905683907436E-2</v>
      </c>
      <c r="E65" s="4" t="s">
        <v>81</v>
      </c>
    </row>
    <row r="66" spans="2:6" x14ac:dyDescent="0.3">
      <c r="B66" s="1" t="s">
        <v>82</v>
      </c>
      <c r="C66" s="10">
        <f>3*C36^2*C65</f>
        <v>62.876474045513937</v>
      </c>
      <c r="D66" s="10">
        <f>3*D36^2*D65</f>
        <v>97.277615968353629</v>
      </c>
      <c r="E66" s="4" t="s">
        <v>4</v>
      </c>
      <c r="F66" s="15" t="s">
        <v>83</v>
      </c>
    </row>
    <row r="67" spans="2:6" x14ac:dyDescent="0.3">
      <c r="B67" s="1" t="s">
        <v>48</v>
      </c>
      <c r="C67" s="7">
        <v>30</v>
      </c>
      <c r="D67" s="7">
        <v>30</v>
      </c>
      <c r="E67" s="4" t="s">
        <v>49</v>
      </c>
      <c r="F67" s="15" t="s">
        <v>50</v>
      </c>
    </row>
    <row r="68" spans="2:6" x14ac:dyDescent="0.3">
      <c r="B68" s="1" t="s">
        <v>51</v>
      </c>
      <c r="C68" s="19">
        <v>0.8</v>
      </c>
      <c r="D68" s="19">
        <v>1</v>
      </c>
      <c r="E68" s="4" t="s">
        <v>52</v>
      </c>
    </row>
    <row r="69" spans="2:6" x14ac:dyDescent="0.3">
      <c r="B69" s="1" t="s">
        <v>84</v>
      </c>
      <c r="C69" s="10">
        <f>C67*C68</f>
        <v>24</v>
      </c>
      <c r="D69" s="10">
        <f>D67*D68</f>
        <v>30</v>
      </c>
      <c r="E69" s="4" t="s">
        <v>4</v>
      </c>
      <c r="F69" s="15" t="s">
        <v>85</v>
      </c>
    </row>
    <row r="70" spans="2:6" x14ac:dyDescent="0.3">
      <c r="B70" s="1" t="s">
        <v>43</v>
      </c>
      <c r="C70" s="7">
        <v>1140</v>
      </c>
      <c r="D70" s="7">
        <v>800</v>
      </c>
      <c r="E70" s="4" t="s">
        <v>44</v>
      </c>
      <c r="F70" s="15" t="s">
        <v>101</v>
      </c>
    </row>
    <row r="71" spans="2:6" x14ac:dyDescent="0.3">
      <c r="B71" s="1" t="s">
        <v>53</v>
      </c>
      <c r="C71" s="17">
        <v>2E-3</v>
      </c>
      <c r="D71" s="17">
        <v>2E-3</v>
      </c>
      <c r="E71" s="4" t="s">
        <v>0</v>
      </c>
      <c r="F71" s="15" t="s">
        <v>54</v>
      </c>
    </row>
    <row r="72" spans="2:6" x14ac:dyDescent="0.3">
      <c r="B72" s="1" t="s">
        <v>86</v>
      </c>
      <c r="C72" s="10">
        <f>0.5*C71*C70*C16^3*C19^5</f>
        <v>1380.7482584196025</v>
      </c>
      <c r="D72" s="10">
        <f>0.5*D71*D70*D16^3*D19^5</f>
        <v>4577.2240792375605</v>
      </c>
      <c r="E72" s="4" t="s">
        <v>4</v>
      </c>
      <c r="F72" s="15" t="s">
        <v>87</v>
      </c>
    </row>
    <row r="73" spans="2:6" x14ac:dyDescent="0.3">
      <c r="B73" s="1" t="s">
        <v>88</v>
      </c>
      <c r="C73" s="10">
        <f>C66+C69+C72</f>
        <v>1467.6247324651165</v>
      </c>
      <c r="D73" s="10">
        <f>D66+D69+D72</f>
        <v>4704.5016952059141</v>
      </c>
      <c r="E73" s="4" t="s">
        <v>4</v>
      </c>
    </row>
    <row r="74" spans="2:6" x14ac:dyDescent="0.3">
      <c r="B74" s="1" t="s">
        <v>89</v>
      </c>
      <c r="C74" s="11">
        <f>C4/(C4+C73)</f>
        <v>0.92505857559493909</v>
      </c>
      <c r="D74" s="11">
        <f>D10/(D10+D73)</f>
        <v>0.81809105567158535</v>
      </c>
      <c r="E74" s="4" t="s">
        <v>0</v>
      </c>
      <c r="F74" s="15" t="s">
        <v>90</v>
      </c>
    </row>
    <row r="75" spans="2:6" x14ac:dyDescent="0.3">
      <c r="B75" s="1"/>
      <c r="C75" s="11"/>
      <c r="D75" s="11"/>
      <c r="E75" s="4"/>
      <c r="F75" s="15"/>
    </row>
    <row r="76" spans="2:6" x14ac:dyDescent="0.3">
      <c r="B76" s="5" t="s">
        <v>122</v>
      </c>
      <c r="C76" s="6"/>
      <c r="D76" s="6"/>
      <c r="E76" s="6"/>
      <c r="F76" s="6"/>
    </row>
    <row r="77" spans="2:6" x14ac:dyDescent="0.3">
      <c r="B77" s="1" t="s">
        <v>95</v>
      </c>
      <c r="C77" s="16">
        <f>(2*PI()/3)*C25*(C19^3-C20^3)</f>
        <v>15.582299561805376</v>
      </c>
      <c r="D77" s="16">
        <f>(2*PI()/3)*D25*(D19^3-D20^3)</f>
        <v>10.38165472317527</v>
      </c>
      <c r="E77" s="4" t="s">
        <v>63</v>
      </c>
    </row>
    <row r="78" spans="2:6" x14ac:dyDescent="0.3">
      <c r="B78" s="1" t="s">
        <v>58</v>
      </c>
      <c r="C78" s="39">
        <v>2</v>
      </c>
      <c r="D78" s="39">
        <v>2</v>
      </c>
      <c r="E78" s="4" t="s">
        <v>0</v>
      </c>
      <c r="F78" s="15"/>
    </row>
    <row r="79" spans="2:6" x14ac:dyDescent="0.3">
      <c r="B79" s="1" t="s">
        <v>119</v>
      </c>
      <c r="C79" s="16">
        <f>C77/C17</f>
        <v>1.3511050405553993</v>
      </c>
      <c r="D79" s="16">
        <f>D77/D17</f>
        <v>1.5415415438073332</v>
      </c>
      <c r="E79" s="4" t="s">
        <v>0</v>
      </c>
    </row>
  </sheetData>
  <conditionalFormatting sqref="C51:D51 C79:D79 C30:D30 C27:D27">
    <cfRule type="colorScale" priority="1">
      <colorScale>
        <cfvo type="num" val="0"/>
        <cfvo type="num" val="1"/>
        <cfvo type="num" val="1.2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Brendan Morgan</cp:lastModifiedBy>
  <cp:revision>0</cp:revision>
  <dcterms:created xsi:type="dcterms:W3CDTF">2026-06-04T04:38:37Z</dcterms:created>
  <dcterms:modified xsi:type="dcterms:W3CDTF">2026-06-06T08:38:44Z</dcterms:modified>
  <dc:language>en-US</dc:language>
</cp:coreProperties>
</file>