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end\Desktop\Turbopump_Mark2\Documents\"/>
    </mc:Choice>
  </mc:AlternateContent>
  <xr:revisionPtr revIDLastSave="0" documentId="13_ncr:1_{7966E482-52E8-4CB9-88B0-8E2FABDCB286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Model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" i="1" l="1"/>
  <c r="C8" i="1"/>
  <c r="C7" i="1"/>
  <c r="C4" i="1"/>
  <c r="C17" i="1"/>
  <c r="C13" i="1"/>
  <c r="C29" i="1" s="1"/>
  <c r="E29" i="1" s="1"/>
  <c r="C12" i="1" l="1"/>
  <c r="C14" i="1" s="1"/>
  <c r="C24" i="1"/>
  <c r="E24" i="1" s="1"/>
  <c r="C18" i="1" l="1"/>
  <c r="E18" i="1" s="1"/>
  <c r="C19" i="1" l="1"/>
  <c r="E19" i="1" s="1"/>
  <c r="I4" i="1" l="1"/>
  <c r="K4" i="1" s="1"/>
  <c r="I5" i="1" l="1"/>
  <c r="K5" i="1" s="1"/>
</calcChain>
</file>

<file path=xl/sharedStrings.xml><?xml version="1.0" encoding="utf-8"?>
<sst xmlns="http://schemas.openxmlformats.org/spreadsheetml/2006/main" count="57" uniqueCount="35">
  <si>
    <t>Total bearing span (pump-to-pump)</t>
  </si>
  <si>
    <t>m</t>
  </si>
  <si>
    <t>Number of intermediate bearings</t>
  </si>
  <si>
    <t>-</t>
  </si>
  <si>
    <t>Shaft outer diameter</t>
  </si>
  <si>
    <t>mm</t>
  </si>
  <si>
    <t>Shaft inner diameter (0 = solid)</t>
  </si>
  <si>
    <t>Operating speed</t>
  </si>
  <si>
    <t>rpm</t>
  </si>
  <si>
    <t>Young's modulus E</t>
  </si>
  <si>
    <t>Pa</t>
  </si>
  <si>
    <t>Material density</t>
  </si>
  <si>
    <t>Shaft section area A</t>
  </si>
  <si>
    <t>Second moment of area I</t>
  </si>
  <si>
    <t>Shaft mass per length</t>
  </si>
  <si>
    <t>kg/m</t>
  </si>
  <si>
    <t>rad/s</t>
  </si>
  <si>
    <t>kg</t>
  </si>
  <si>
    <t>1st critical (Dunkerley combined)</t>
  </si>
  <si>
    <t>2nd critical (approx, per span)</t>
  </si>
  <si>
    <t>https://roymech.org/Useful_Tables/Drive/Shaft_Critical_Speed.html</t>
  </si>
  <si>
    <t>m2</t>
  </si>
  <si>
    <t>m4</t>
  </si>
  <si>
    <t>Fuel Cantilever</t>
  </si>
  <si>
    <t>L</t>
  </si>
  <si>
    <t>Ox Cantilever</t>
  </si>
  <si>
    <t>Segment Length</t>
  </si>
  <si>
    <t>Segment Critical</t>
  </si>
  <si>
    <t>Critical</t>
  </si>
  <si>
    <t>Shaft Segments</t>
  </si>
  <si>
    <t>Full Shaft Critical</t>
  </si>
  <si>
    <t>kg/m3</t>
  </si>
  <si>
    <t>Inputs</t>
  </si>
  <si>
    <t>Outputs</t>
  </si>
  <si>
    <t>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</si>
</sst>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7" formatCode="0.000E+00"/>
  </numFmts>
  <fonts count="5" x14ac:knownFonts="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EB9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rgb="FF595959"/>
      </patternFill>
    </fill>
    <fill>
      <patternFill patternType="solid">
        <fgColor rgb="FF66FF99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0">
    <xf numFmtId="0" fontId="0" fillId="0" borderId="0" xfId="0"/>
    <xf numFmtId="0" fontId="3" fillId="0" borderId="0" xfId="0" applyFont="1" applyBorder="1"/>
    <xf numFmtId="0" fontId="4" fillId="0" borderId="0" xfId="1" applyFont="1" applyBorder="1"/>
    <xf numFmtId="164" fontId="3" fillId="2" borderId="0" xfId="0" applyNumberFormat="1" applyFont="1" applyFill="1" applyBorder="1" applyAlignment="1">
      <alignment horizontal="right" vertical="center"/>
    </xf>
    <xf numFmtId="0" fontId="3" fillId="0" borderId="0" xfId="0" applyFont="1" applyBorder="1" applyAlignment="1">
      <alignment horizontal="right"/>
    </xf>
    <xf numFmtId="0" fontId="2" fillId="3" borderId="0" xfId="0" applyFont="1" applyFill="1" applyBorder="1" applyAlignment="1">
      <alignment horizontal="right" vertical="center"/>
    </xf>
    <xf numFmtId="165" fontId="2" fillId="3" borderId="0" xfId="0" applyNumberFormat="1" applyFont="1" applyFill="1" applyBorder="1" applyAlignment="1">
      <alignment horizontal="right" vertical="center"/>
    </xf>
    <xf numFmtId="165" fontId="3" fillId="2" borderId="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horizontal="right" vertical="center"/>
    </xf>
    <xf numFmtId="11" fontId="3" fillId="2" borderId="0" xfId="0" applyNumberFormat="1" applyFont="1" applyFill="1" applyBorder="1" applyAlignment="1">
      <alignment horizontal="right" vertical="center"/>
    </xf>
    <xf numFmtId="167" fontId="3" fillId="0" borderId="0" xfId="0" applyNumberFormat="1" applyFont="1" applyBorder="1" applyAlignment="1">
      <alignment horizontal="right" vertical="center"/>
    </xf>
    <xf numFmtId="164" fontId="3" fillId="0" borderId="0" xfId="0" applyNumberFormat="1" applyFont="1" applyBorder="1" applyAlignment="1">
      <alignment horizontal="right" vertical="center"/>
    </xf>
    <xf numFmtId="164" fontId="3" fillId="0" borderId="0" xfId="0" applyNumberFormat="1" applyFont="1" applyFill="1" applyBorder="1" applyAlignment="1">
      <alignment horizontal="right" vertical="center"/>
    </xf>
    <xf numFmtId="3" fontId="3" fillId="0" borderId="0" xfId="0" applyNumberFormat="1" applyFont="1" applyBorder="1" applyAlignment="1">
      <alignment horizontal="right" vertical="center"/>
    </xf>
    <xf numFmtId="3" fontId="2" fillId="0" borderId="0" xfId="0" applyNumberFormat="1" applyFont="1" applyBorder="1" applyAlignment="1">
      <alignment horizontal="right" vertical="center"/>
    </xf>
    <xf numFmtId="0" fontId="3" fillId="0" borderId="4" xfId="0" applyFont="1" applyBorder="1"/>
    <xf numFmtId="0" fontId="3" fillId="0" borderId="6" xfId="0" applyFont="1" applyBorder="1"/>
    <xf numFmtId="2" fontId="3" fillId="0" borderId="7" xfId="0" applyNumberFormat="1" applyFont="1" applyBorder="1" applyAlignment="1">
      <alignment horizontal="right"/>
    </xf>
    <xf numFmtId="2" fontId="3" fillId="0" borderId="0" xfId="0" applyNumberFormat="1" applyFont="1" applyBorder="1" applyAlignment="1">
      <alignment horizontal="right"/>
    </xf>
    <xf numFmtId="165" fontId="3" fillId="0" borderId="0" xfId="0" applyNumberFormat="1" applyFont="1" applyBorder="1" applyAlignment="1">
      <alignment horizontal="right"/>
    </xf>
    <xf numFmtId="0" fontId="3" fillId="4" borderId="2" xfId="0" applyFont="1" applyFill="1" applyBorder="1" applyAlignment="1">
      <alignment horizontal="right"/>
    </xf>
    <xf numFmtId="0" fontId="3" fillId="5" borderId="2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3" fontId="2" fillId="0" borderId="0" xfId="0" applyNumberFormat="1" applyFont="1" applyFill="1" applyBorder="1" applyAlignment="1">
      <alignment horizontal="right" vertical="center"/>
    </xf>
    <xf numFmtId="2" fontId="3" fillId="0" borderId="7" xfId="0" applyNumberFormat="1" applyFont="1" applyFill="1" applyBorder="1" applyAlignment="1">
      <alignment horizontal="right"/>
    </xf>
    <xf numFmtId="3" fontId="3" fillId="0" borderId="0" xfId="0" applyNumberFormat="1" applyFont="1" applyFill="1" applyBorder="1" applyAlignment="1">
      <alignment horizontal="right" vertical="center"/>
    </xf>
    <xf numFmtId="0" fontId="2" fillId="5" borderId="1" xfId="0" applyFont="1" applyFill="1" applyBorder="1"/>
    <xf numFmtId="0" fontId="2" fillId="4" borderId="1" xfId="0" applyFont="1" applyFill="1" applyBorder="1"/>
    <xf numFmtId="0" fontId="2" fillId="6" borderId="1" xfId="0" applyFont="1" applyFill="1" applyBorder="1"/>
    <xf numFmtId="164" fontId="3" fillId="6" borderId="2" xfId="0" applyNumberFormat="1" applyFont="1" applyFill="1" applyBorder="1" applyAlignment="1">
      <alignment horizontal="right" vertical="center"/>
    </xf>
    <xf numFmtId="0" fontId="3" fillId="6" borderId="2" xfId="0" applyFont="1" applyFill="1" applyBorder="1" applyAlignment="1">
      <alignment horizontal="right"/>
    </xf>
    <xf numFmtId="0" fontId="3" fillId="0" borderId="4" xfId="0" applyFont="1" applyFill="1" applyBorder="1"/>
    <xf numFmtId="3" fontId="3" fillId="0" borderId="7" xfId="0" applyNumberFormat="1" applyFont="1" applyBorder="1" applyAlignment="1">
      <alignment horizontal="right" vertical="center"/>
    </xf>
    <xf numFmtId="3" fontId="3" fillId="0" borderId="7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vertical="center"/>
    </xf>
    <xf numFmtId="0" fontId="2" fillId="7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vertical="center"/>
    </xf>
    <xf numFmtId="164" fontId="3" fillId="0" borderId="7" xfId="0" applyNumberFormat="1" applyFont="1" applyBorder="1" applyAlignment="1">
      <alignment horizontal="right" vertical="center"/>
    </xf>
    <xf numFmtId="0" fontId="3" fillId="0" borderId="7" xfId="0" applyFont="1" applyFill="1" applyBorder="1" applyAlignment="1">
      <alignment horizontal="right"/>
    </xf>
    <xf numFmtId="0" fontId="2" fillId="7" borderId="2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8" borderId="3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/>
    </xf>
    <xf numFmtId="0" fontId="3" fillId="0" borderId="8" xfId="0" applyFont="1" applyFill="1" applyBorder="1" applyAlignment="1">
      <alignment horizontal="left"/>
    </xf>
    <xf numFmtId="0" fontId="3" fillId="6" borderId="3" xfId="0" applyFont="1" applyFill="1" applyBorder="1" applyAlignment="1">
      <alignment horizontal="left"/>
    </xf>
    <xf numFmtId="0" fontId="3" fillId="0" borderId="8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165" fontId="3" fillId="0" borderId="7" xfId="0" applyNumberFormat="1" applyFont="1" applyFill="1" applyBorder="1" applyAlignment="1">
      <alignment horizontal="right"/>
    </xf>
    <xf numFmtId="0" fontId="2" fillId="9" borderId="1" xfId="0" applyFont="1" applyFill="1" applyBorder="1"/>
    <xf numFmtId="0" fontId="2" fillId="9" borderId="2" xfId="0" applyFont="1" applyFill="1" applyBorder="1"/>
    <xf numFmtId="0" fontId="2" fillId="9" borderId="3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D966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549966</xdr:colOff>
      <xdr:row>6</xdr:row>
      <xdr:rowOff>178114</xdr:rowOff>
    </xdr:from>
    <xdr:to>
      <xdr:col>7</xdr:col>
      <xdr:colOff>1278835</xdr:colOff>
      <xdr:row>10</xdr:row>
      <xdr:rowOff>165080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CF662D-BC45-F77A-1499-23982CDED1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347" r="4498"/>
        <a:stretch>
          <a:fillRect/>
        </a:stretch>
      </xdr:blipFill>
      <xdr:spPr>
        <a:xfrm>
          <a:off x="6102627" y="1331053"/>
          <a:ext cx="1325217" cy="755592"/>
        </a:xfrm>
        <a:prstGeom prst="rect">
          <a:avLst/>
        </a:prstGeom>
      </xdr:spPr>
    </xdr:pic>
    <xdr:clientData/>
  </xdr:twoCellAnchor>
  <xdr:twoCellAnchor editAs="oneCell">
    <xdr:from>
      <xdr:col>6</xdr:col>
      <xdr:colOff>124874</xdr:colOff>
      <xdr:row>11</xdr:row>
      <xdr:rowOff>151704</xdr:rowOff>
    </xdr:from>
    <xdr:to>
      <xdr:col>9</xdr:col>
      <xdr:colOff>417951</xdr:colOff>
      <xdr:row>16</xdr:row>
      <xdr:rowOff>136071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47E583-9AA1-56E5-621B-631A02F79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77535" y="2265426"/>
          <a:ext cx="3566364" cy="945149"/>
        </a:xfrm>
        <a:prstGeom prst="rect">
          <a:avLst/>
        </a:prstGeom>
      </xdr:spPr>
    </xdr:pic>
    <xdr:clientData/>
  </xdr:twoCellAnchor>
  <xdr:twoCellAnchor editAs="oneCell">
    <xdr:from>
      <xdr:col>9</xdr:col>
      <xdr:colOff>227933</xdr:colOff>
      <xdr:row>15</xdr:row>
      <xdr:rowOff>43323</xdr:rowOff>
    </xdr:from>
    <xdr:to>
      <xdr:col>14</xdr:col>
      <xdr:colOff>281308</xdr:colOff>
      <xdr:row>20</xdr:row>
      <xdr:rowOff>19482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48ECB27-9245-93EA-1120-E252EBD32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53881" y="2925671"/>
          <a:ext cx="3035114" cy="936941"/>
        </a:xfrm>
        <a:prstGeom prst="rect">
          <a:avLst/>
        </a:prstGeom>
      </xdr:spPr>
    </xdr:pic>
    <xdr:clientData/>
  </xdr:twoCellAnchor>
  <xdr:twoCellAnchor editAs="oneCell">
    <xdr:from>
      <xdr:col>1</xdr:col>
      <xdr:colOff>49697</xdr:colOff>
      <xdr:row>29</xdr:row>
      <xdr:rowOff>134079</xdr:rowOff>
    </xdr:from>
    <xdr:to>
      <xdr:col>2</xdr:col>
      <xdr:colOff>840240</xdr:colOff>
      <xdr:row>39</xdr:row>
      <xdr:rowOff>159359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488F4F9-5AE0-E760-AD5A-411EB689F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1245" y="5898775"/>
          <a:ext cx="3122925" cy="1946845"/>
        </a:xfrm>
        <a:prstGeom prst="rect">
          <a:avLst/>
        </a:prstGeom>
      </xdr:spPr>
    </xdr:pic>
    <xdr:clientData/>
  </xdr:twoCellAnchor>
  <xdr:twoCellAnchor editAs="oneCell">
    <xdr:from>
      <xdr:col>6</xdr:col>
      <xdr:colOff>281355</xdr:colOff>
      <xdr:row>17</xdr:row>
      <xdr:rowOff>12577</xdr:rowOff>
    </xdr:from>
    <xdr:to>
      <xdr:col>8</xdr:col>
      <xdr:colOff>101175</xdr:colOff>
      <xdr:row>20</xdr:row>
      <xdr:rowOff>140240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F9EE97-290A-98FD-13FC-61D17A2E4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78063" y="3300900"/>
          <a:ext cx="2479430" cy="707955"/>
        </a:xfrm>
        <a:prstGeom prst="rect">
          <a:avLst/>
        </a:prstGeom>
      </xdr:spPr>
    </xdr:pic>
    <xdr:clientData/>
  </xdr:twoCellAnchor>
  <xdr:twoCellAnchor editAs="oneCell">
    <xdr:from>
      <xdr:col>6</xdr:col>
      <xdr:colOff>492368</xdr:colOff>
      <xdr:row>24</xdr:row>
      <xdr:rowOff>132666</xdr:rowOff>
    </xdr:from>
    <xdr:to>
      <xdr:col>9</xdr:col>
      <xdr:colOff>241851</xdr:colOff>
      <xdr:row>29</xdr:row>
      <xdr:rowOff>144335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AA7F17-4C18-428D-63F2-58DB610F7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89076" y="4775004"/>
          <a:ext cx="3001108" cy="9788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roymech.org/Useful_Tables/Drive/Shaft_Critical_Spee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3"/>
  <sheetViews>
    <sheetView showGridLines="0" tabSelected="1" zoomScale="115" zoomScaleNormal="115" workbookViewId="0">
      <selection activeCell="C9" sqref="C9"/>
    </sheetView>
  </sheetViews>
  <sheetFormatPr defaultColWidth="8.6640625" defaultRowHeight="15" customHeight="1" x14ac:dyDescent="0.3"/>
  <cols>
    <col min="1" max="1" width="4.21875" style="1" customWidth="1"/>
    <col min="2" max="2" width="34" style="1" customWidth="1"/>
    <col min="3" max="3" width="13.21875" style="4" customWidth="1"/>
    <col min="4" max="4" width="9" style="40" customWidth="1"/>
    <col min="5" max="5" width="11.77734375" style="4" customWidth="1"/>
    <col min="6" max="6" width="8.6640625" style="40"/>
    <col min="7" max="7" width="8.6640625" style="1"/>
    <col min="8" max="8" width="30.33203125" style="1" customWidth="1"/>
    <col min="9" max="16384" width="8.6640625" style="1"/>
  </cols>
  <sheetData>
    <row r="2" spans="2:12" ht="15" customHeight="1" x14ac:dyDescent="0.3">
      <c r="B2" s="2" t="s">
        <v>20</v>
      </c>
    </row>
    <row r="3" spans="2:12" ht="15" customHeight="1" x14ac:dyDescent="0.3">
      <c r="B3" s="34" t="s">
        <v>32</v>
      </c>
      <c r="C3" s="35"/>
      <c r="D3" s="39"/>
      <c r="E3" s="36"/>
      <c r="F3" s="47"/>
      <c r="H3" s="57" t="s">
        <v>33</v>
      </c>
      <c r="I3" s="58"/>
      <c r="J3" s="58"/>
      <c r="K3" s="58"/>
      <c r="L3" s="59"/>
    </row>
    <row r="4" spans="2:12" ht="15" customHeight="1" x14ac:dyDescent="0.3">
      <c r="B4" s="15" t="s">
        <v>7</v>
      </c>
      <c r="C4" s="19">
        <f>E4*PI()/30</f>
        <v>2094.3951023931954</v>
      </c>
      <c r="D4" s="40" t="s">
        <v>16</v>
      </c>
      <c r="E4" s="8">
        <v>20000</v>
      </c>
      <c r="F4" s="48" t="s">
        <v>8</v>
      </c>
      <c r="G4" s="2"/>
      <c r="H4" s="15" t="s">
        <v>18</v>
      </c>
      <c r="I4" s="23">
        <f>1/SQRT(1/C19^2+1/C24^2+1/C29^2)</f>
        <v>491.12434910240222</v>
      </c>
      <c r="J4" s="41" t="s">
        <v>34</v>
      </c>
      <c r="K4" s="25">
        <f>I4*60</f>
        <v>29467.460946144132</v>
      </c>
      <c r="L4" s="48" t="s">
        <v>8</v>
      </c>
    </row>
    <row r="5" spans="2:12" ht="15" customHeight="1" x14ac:dyDescent="0.3">
      <c r="B5" s="15" t="s">
        <v>0</v>
      </c>
      <c r="C5" s="3">
        <v>1.5</v>
      </c>
      <c r="D5" s="41" t="s">
        <v>1</v>
      </c>
      <c r="E5" s="22"/>
      <c r="F5" s="49"/>
      <c r="H5" s="16" t="s">
        <v>19</v>
      </c>
      <c r="I5" s="56">
        <f>4*I4</f>
        <v>1964.4973964096089</v>
      </c>
      <c r="J5" s="43" t="s">
        <v>34</v>
      </c>
      <c r="K5" s="33">
        <f>I5*60</f>
        <v>117869.84378457653</v>
      </c>
      <c r="L5" s="52" t="s">
        <v>8</v>
      </c>
    </row>
    <row r="6" spans="2:12" ht="15" customHeight="1" x14ac:dyDescent="0.3">
      <c r="B6" s="15" t="s">
        <v>2</v>
      </c>
      <c r="C6" s="5">
        <v>3</v>
      </c>
      <c r="D6" s="41" t="s">
        <v>3</v>
      </c>
      <c r="E6" s="22"/>
      <c r="F6" s="49"/>
    </row>
    <row r="7" spans="2:12" ht="15" customHeight="1" x14ac:dyDescent="0.3">
      <c r="B7" s="15" t="s">
        <v>4</v>
      </c>
      <c r="C7" s="4">
        <f>E7/1000</f>
        <v>5.0799999999999998E-2</v>
      </c>
      <c r="D7" s="41" t="s">
        <v>1</v>
      </c>
      <c r="E7" s="6">
        <f>2*25.4</f>
        <v>50.8</v>
      </c>
      <c r="F7" s="48" t="s">
        <v>5</v>
      </c>
    </row>
    <row r="8" spans="2:12" ht="15" customHeight="1" x14ac:dyDescent="0.3">
      <c r="B8" s="15" t="s">
        <v>6</v>
      </c>
      <c r="C8" s="4">
        <f>E8/1000</f>
        <v>0.05</v>
      </c>
      <c r="D8" s="41" t="s">
        <v>1</v>
      </c>
      <c r="E8" s="7">
        <v>50</v>
      </c>
      <c r="F8" s="48" t="s">
        <v>5</v>
      </c>
    </row>
    <row r="9" spans="2:12" ht="15" customHeight="1" x14ac:dyDescent="0.3">
      <c r="B9" s="15"/>
      <c r="D9" s="42"/>
      <c r="E9" s="22"/>
      <c r="F9" s="49"/>
    </row>
    <row r="10" spans="2:12" ht="15" customHeight="1" x14ac:dyDescent="0.3">
      <c r="B10" s="15" t="s">
        <v>9</v>
      </c>
      <c r="C10" s="9">
        <v>193000000000</v>
      </c>
      <c r="D10" s="41" t="s">
        <v>10</v>
      </c>
      <c r="E10" s="22"/>
      <c r="F10" s="49"/>
    </row>
    <row r="11" spans="2:12" ht="15" customHeight="1" x14ac:dyDescent="0.3">
      <c r="B11" s="15" t="s">
        <v>11</v>
      </c>
      <c r="C11" s="8">
        <v>7900</v>
      </c>
      <c r="D11" s="41" t="s">
        <v>31</v>
      </c>
      <c r="E11" s="22"/>
      <c r="F11" s="49"/>
    </row>
    <row r="12" spans="2:12" ht="15" customHeight="1" x14ac:dyDescent="0.3">
      <c r="B12" s="15" t="s">
        <v>12</v>
      </c>
      <c r="C12" s="10">
        <f>PI()/4*(C7^2-C8^2)</f>
        <v>6.3334507896369791E-5</v>
      </c>
      <c r="D12" s="41" t="s">
        <v>21</v>
      </c>
      <c r="E12" s="22"/>
      <c r="F12" s="49"/>
    </row>
    <row r="13" spans="2:12" ht="15" customHeight="1" x14ac:dyDescent="0.3">
      <c r="B13" s="15" t="s">
        <v>13</v>
      </c>
      <c r="C13" s="10">
        <f>PI()/64*((E7/1000)^4-(E8/1000)^4)</f>
        <v>2.0111239637413238E-8</v>
      </c>
      <c r="D13" s="41" t="s">
        <v>22</v>
      </c>
      <c r="E13" s="22"/>
      <c r="F13" s="49"/>
    </row>
    <row r="14" spans="2:12" ht="15" customHeight="1" x14ac:dyDescent="0.3">
      <c r="B14" s="16" t="s">
        <v>14</v>
      </c>
      <c r="C14" s="37">
        <f>C11*C12</f>
        <v>0.50034261238132138</v>
      </c>
      <c r="D14" s="43" t="s">
        <v>15</v>
      </c>
      <c r="E14" s="38"/>
      <c r="F14" s="50"/>
    </row>
    <row r="15" spans="2:12" ht="15" customHeight="1" x14ac:dyDescent="0.3">
      <c r="C15" s="11"/>
      <c r="D15" s="41"/>
      <c r="E15" s="22"/>
      <c r="F15" s="42"/>
    </row>
    <row r="16" spans="2:12" ht="15" customHeight="1" x14ac:dyDescent="0.3">
      <c r="B16" s="28" t="s">
        <v>29</v>
      </c>
      <c r="C16" s="29"/>
      <c r="D16" s="44"/>
      <c r="E16" s="30"/>
      <c r="F16" s="51"/>
    </row>
    <row r="17" spans="2:6" ht="15" customHeight="1" x14ac:dyDescent="0.3">
      <c r="B17" s="31" t="s">
        <v>26</v>
      </c>
      <c r="C17" s="12">
        <f>C5/(C6+1)</f>
        <v>0.375</v>
      </c>
      <c r="D17" s="41" t="s">
        <v>1</v>
      </c>
      <c r="E17" s="22"/>
      <c r="F17" s="49"/>
    </row>
    <row r="18" spans="2:6" ht="15" customHeight="1" x14ac:dyDescent="0.3">
      <c r="B18" s="15" t="s">
        <v>27</v>
      </c>
      <c r="C18" s="13">
        <f>1.57*SQRT(C10*C13/C14)/C17^2</f>
        <v>983.33488381379675</v>
      </c>
      <c r="D18" s="41" t="s">
        <v>34</v>
      </c>
      <c r="E18" s="25">
        <f>C18*60</f>
        <v>59000.093028827803</v>
      </c>
      <c r="F18" s="48" t="s">
        <v>8</v>
      </c>
    </row>
    <row r="19" spans="2:6" ht="15" customHeight="1" x14ac:dyDescent="0.3">
      <c r="B19" s="16" t="s">
        <v>30</v>
      </c>
      <c r="C19" s="32">
        <f>1/SQRT((C6+1)/C18^2)</f>
        <v>491.66744190689838</v>
      </c>
      <c r="D19" s="43" t="s">
        <v>34</v>
      </c>
      <c r="E19" s="33">
        <f>C19*60</f>
        <v>29500.046514413902</v>
      </c>
      <c r="F19" s="52" t="s">
        <v>8</v>
      </c>
    </row>
    <row r="21" spans="2:6" ht="15" customHeight="1" x14ac:dyDescent="0.3">
      <c r="B21" s="26" t="s">
        <v>23</v>
      </c>
      <c r="C21" s="21"/>
      <c r="D21" s="45"/>
      <c r="E21" s="21"/>
      <c r="F21" s="53"/>
    </row>
    <row r="22" spans="2:6" ht="15" customHeight="1" x14ac:dyDescent="0.3">
      <c r="B22" s="15" t="s">
        <v>24</v>
      </c>
      <c r="C22" s="4">
        <v>0.03</v>
      </c>
      <c r="D22" s="40" t="s">
        <v>24</v>
      </c>
      <c r="F22" s="54"/>
    </row>
    <row r="23" spans="2:6" ht="15" customHeight="1" x14ac:dyDescent="0.3">
      <c r="B23" s="15" t="s">
        <v>1</v>
      </c>
      <c r="C23" s="4">
        <v>0.1</v>
      </c>
      <c r="D23" s="40" t="s">
        <v>17</v>
      </c>
      <c r="F23" s="54"/>
    </row>
    <row r="24" spans="2:6" ht="15" customHeight="1" x14ac:dyDescent="0.3">
      <c r="B24" s="16" t="s">
        <v>28</v>
      </c>
      <c r="C24" s="17">
        <f>SQRT(3*C10*C13/(C23*C22^3))/(2*3.1416)</f>
        <v>10451.916615753229</v>
      </c>
      <c r="D24" s="43" t="s">
        <v>34</v>
      </c>
      <c r="E24" s="33">
        <f>C24*60</f>
        <v>627114.99694519374</v>
      </c>
      <c r="F24" s="52" t="s">
        <v>8</v>
      </c>
    </row>
    <row r="25" spans="2:6" ht="15" customHeight="1" x14ac:dyDescent="0.3">
      <c r="C25" s="18"/>
      <c r="E25" s="14"/>
      <c r="F25" s="41"/>
    </row>
    <row r="26" spans="2:6" ht="15" customHeight="1" x14ac:dyDescent="0.3">
      <c r="B26" s="27" t="s">
        <v>25</v>
      </c>
      <c r="C26" s="20"/>
      <c r="D26" s="46"/>
      <c r="E26" s="20"/>
      <c r="F26" s="55"/>
    </row>
    <row r="27" spans="2:6" ht="15" customHeight="1" x14ac:dyDescent="0.3">
      <c r="B27" s="15" t="s">
        <v>24</v>
      </c>
      <c r="C27" s="4">
        <v>0.01</v>
      </c>
      <c r="D27" s="40" t="s">
        <v>24</v>
      </c>
      <c r="F27" s="54"/>
    </row>
    <row r="28" spans="2:6" ht="15" customHeight="1" x14ac:dyDescent="0.3">
      <c r="B28" s="15" t="s">
        <v>1</v>
      </c>
      <c r="C28" s="22">
        <v>1.0000000000000001E-5</v>
      </c>
      <c r="D28" s="42" t="s">
        <v>17</v>
      </c>
      <c r="E28" s="22"/>
      <c r="F28" s="49"/>
    </row>
    <row r="29" spans="2:6" ht="15" customHeight="1" x14ac:dyDescent="0.3">
      <c r="B29" s="16" t="s">
        <v>28</v>
      </c>
      <c r="C29" s="24">
        <f>SQRT(3*C10*C13/(C28*C27^3))/(2*3.1416)</f>
        <v>5430975.1844873838</v>
      </c>
      <c r="D29" s="43" t="s">
        <v>34</v>
      </c>
      <c r="E29" s="33">
        <f>C29*60</f>
        <v>325858511.06924301</v>
      </c>
      <c r="F29" s="52" t="s">
        <v>8</v>
      </c>
    </row>
    <row r="30" spans="2:6" ht="15" customHeight="1" x14ac:dyDescent="0.3">
      <c r="C30" s="22"/>
      <c r="D30" s="42"/>
      <c r="E30" s="22"/>
      <c r="F30" s="42"/>
    </row>
    <row r="33" spans="3:6" ht="15" customHeight="1" x14ac:dyDescent="0.3">
      <c r="C33" s="22"/>
      <c r="D33" s="42"/>
      <c r="E33" s="22"/>
      <c r="F33" s="42"/>
    </row>
  </sheetData>
  <hyperlinks>
    <hyperlink ref="B2" r:id="rId1" xr:uid="{C10455D4-AC50-4110-85CC-6E2A8537D87B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Brendan Morgan</cp:lastModifiedBy>
  <cp:revision>0</cp:revision>
  <dcterms:created xsi:type="dcterms:W3CDTF">2026-05-27T02:56:08Z</dcterms:created>
  <dcterms:modified xsi:type="dcterms:W3CDTF">2026-05-28T06:18:31Z</dcterms:modified>
  <dc:language>en-US</dc:language>
</cp:coreProperties>
</file>