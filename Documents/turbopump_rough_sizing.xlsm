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end\Desktop\Turbopump_Mark2\Concepts\"/>
    </mc:Choice>
  </mc:AlternateContent>
  <xr:revisionPtr revIDLastSave="0" documentId="13_ncr:1_{B49E39BD-6CAC-4D8A-9F3E-2810202C06B3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rk 2" sheetId="4" r:id="rId1"/>
    <sheet name="Aeon R" sheetId="3" r:id="rId2"/>
    <sheet name="Merlin" sheetId="1" r:id="rId3"/>
    <sheet name="Referenc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8" i="4" l="1"/>
  <c r="J48" i="4" s="1"/>
  <c r="E48" i="4"/>
  <c r="C48" i="4"/>
  <c r="H47" i="4"/>
  <c r="J47" i="4" s="1"/>
  <c r="E47" i="4"/>
  <c r="C47" i="4"/>
  <c r="H46" i="4"/>
  <c r="J46" i="4" s="1"/>
  <c r="E46" i="4"/>
  <c r="C46" i="4"/>
  <c r="C4" i="4"/>
  <c r="E4" i="4" s="1"/>
  <c r="H17" i="4"/>
  <c r="H16" i="1"/>
  <c r="C16" i="1"/>
  <c r="H26" i="3"/>
  <c r="C26" i="3"/>
  <c r="H23" i="3"/>
  <c r="C23" i="3"/>
  <c r="H16" i="3"/>
  <c r="C16" i="3"/>
  <c r="H45" i="4"/>
  <c r="C45" i="4"/>
  <c r="C37" i="4"/>
  <c r="J19" i="4"/>
  <c r="H19" i="4" s="1"/>
  <c r="E19" i="4"/>
  <c r="C19" i="4" s="1"/>
  <c r="H18" i="4"/>
  <c r="C18" i="4"/>
  <c r="C8" i="4"/>
  <c r="C7" i="4"/>
  <c r="C11" i="4" s="1"/>
  <c r="C17" i="4"/>
  <c r="H36" i="3"/>
  <c r="H21" i="3"/>
  <c r="C21" i="3"/>
  <c r="C36" i="3"/>
  <c r="H18" i="3"/>
  <c r="C18" i="3"/>
  <c r="H17" i="3"/>
  <c r="C17" i="3"/>
  <c r="C7" i="3"/>
  <c r="C6" i="3"/>
  <c r="J18" i="1"/>
  <c r="H18" i="1" s="1"/>
  <c r="E18" i="1"/>
  <c r="C36" i="1"/>
  <c r="H17" i="1"/>
  <c r="H37" i="3" l="1"/>
  <c r="H41" i="3" s="1"/>
  <c r="C21" i="4"/>
  <c r="H21" i="4"/>
  <c r="C38" i="4"/>
  <c r="C42" i="4" s="1"/>
  <c r="H22" i="4"/>
  <c r="H23" i="4" s="1"/>
  <c r="C22" i="4"/>
  <c r="C23" i="4" s="1"/>
  <c r="C24" i="4" s="1"/>
  <c r="C37" i="3"/>
  <c r="C41" i="3" s="1"/>
  <c r="C20" i="3"/>
  <c r="H20" i="3"/>
  <c r="H22" i="3"/>
  <c r="C22" i="3"/>
  <c r="H20" i="1"/>
  <c r="H24" i="3" l="1"/>
  <c r="H24" i="4"/>
  <c r="H25" i="4" s="1"/>
  <c r="H27" i="4" s="1"/>
  <c r="J27" i="4" s="1"/>
  <c r="C30" i="4"/>
  <c r="E30" i="4" s="1"/>
  <c r="H30" i="4"/>
  <c r="J30" i="4" s="1"/>
  <c r="C25" i="4"/>
  <c r="C27" i="4" s="1"/>
  <c r="E27" i="4" s="1"/>
  <c r="E24" i="4"/>
  <c r="C24" i="3"/>
  <c r="E26" i="3" s="1"/>
  <c r="E23" i="3"/>
  <c r="J23" i="3"/>
  <c r="H29" i="3"/>
  <c r="C29" i="3"/>
  <c r="E29" i="3" s="1"/>
  <c r="C7" i="1"/>
  <c r="C6" i="1"/>
  <c r="C10" i="1" s="1"/>
  <c r="C21" i="1" s="1"/>
  <c r="C22" i="1" s="1"/>
  <c r="C17" i="1"/>
  <c r="C18" i="1"/>
  <c r="C20" i="1" l="1"/>
  <c r="C29" i="1" s="1"/>
  <c r="J24" i="4"/>
  <c r="C33" i="4"/>
  <c r="C35" i="4" s="1"/>
  <c r="C36" i="4" s="1"/>
  <c r="C39" i="4" s="1"/>
  <c r="I33" i="4" s="1"/>
  <c r="J29" i="3"/>
  <c r="H32" i="3"/>
  <c r="J26" i="3"/>
  <c r="C32" i="3"/>
  <c r="C23" i="1"/>
  <c r="C37" i="1"/>
  <c r="C41" i="1" s="1"/>
  <c r="H21" i="1"/>
  <c r="H22" i="1" s="1"/>
  <c r="I12" i="4" l="1"/>
  <c r="H34" i="3"/>
  <c r="H35" i="3" s="1"/>
  <c r="H38" i="3" s="1"/>
  <c r="J32" i="3"/>
  <c r="C34" i="3"/>
  <c r="C35" i="3" s="1"/>
  <c r="C38" i="3" s="1"/>
  <c r="I11" i="3" s="1"/>
  <c r="E32" i="3"/>
  <c r="E29" i="1"/>
  <c r="H23" i="1"/>
  <c r="J23" i="1" s="1"/>
  <c r="H29" i="1"/>
  <c r="J29" i="1" s="1"/>
  <c r="C44" i="3" l="1"/>
  <c r="H24" i="1"/>
  <c r="H26" i="1" s="1"/>
  <c r="J26" i="1" s="1"/>
  <c r="C32" i="1"/>
  <c r="E23" i="1"/>
  <c r="C24" i="1"/>
  <c r="C26" i="1" s="1"/>
  <c r="E26" i="1" s="1"/>
  <c r="C34" i="1" l="1"/>
  <c r="C35" i="1" s="1"/>
  <c r="C38" i="1" s="1"/>
  <c r="I32" i="1" l="1"/>
  <c r="I11" i="1"/>
</calcChain>
</file>

<file path=xl/sharedStrings.xml><?xml version="1.0" encoding="utf-8"?>
<sst xmlns="http://schemas.openxmlformats.org/spreadsheetml/2006/main" count="288" uniqueCount="70">
  <si>
    <t>shaft speed</t>
  </si>
  <si>
    <t>rpm</t>
  </si>
  <si>
    <t>rad/s</t>
  </si>
  <si>
    <t>head</t>
  </si>
  <si>
    <t>bar</t>
  </si>
  <si>
    <t>ox pump</t>
  </si>
  <si>
    <t>discharge pressure</t>
  </si>
  <si>
    <t>Pa</t>
  </si>
  <si>
    <t>inlet pressure</t>
  </si>
  <si>
    <t>density</t>
  </si>
  <si>
    <t>kg/m3</t>
  </si>
  <si>
    <t>m</t>
  </si>
  <si>
    <t>mass flow</t>
  </si>
  <si>
    <t>kg/s</t>
  </si>
  <si>
    <t>TCA</t>
  </si>
  <si>
    <t>thrust</t>
  </si>
  <si>
    <t>lbf</t>
  </si>
  <si>
    <t>N</t>
  </si>
  <si>
    <t>chamber pressure</t>
  </si>
  <si>
    <t>c star</t>
  </si>
  <si>
    <t>m/s</t>
  </si>
  <si>
    <t>c tau</t>
  </si>
  <si>
    <t>OF ratio</t>
  </si>
  <si>
    <t>volumetric flow</t>
  </si>
  <si>
    <t>m3/s</t>
  </si>
  <si>
    <t>specific speed</t>
  </si>
  <si>
    <t>Ns</t>
  </si>
  <si>
    <t>fuel pump</t>
  </si>
  <si>
    <t>head coefficient</t>
  </si>
  <si>
    <t>impeller OD</t>
  </si>
  <si>
    <t>in</t>
  </si>
  <si>
    <t>pump efficiency</t>
  </si>
  <si>
    <t>turbine</t>
  </si>
  <si>
    <t>turbine efficiency</t>
  </si>
  <si>
    <t>shaft power</t>
  </si>
  <si>
    <t>turbine power</t>
  </si>
  <si>
    <t>pump power</t>
  </si>
  <si>
    <t>W</t>
  </si>
  <si>
    <t>kW</t>
  </si>
  <si>
    <t>turbine torque</t>
  </si>
  <si>
    <t>N*m</t>
  </si>
  <si>
    <t>wheel pitchline radius</t>
  </si>
  <si>
    <t>pitchline speed</t>
  </si>
  <si>
    <t>gas generator</t>
  </si>
  <si>
    <t>velocity ratio</t>
  </si>
  <si>
    <t>spouting velocity</t>
  </si>
  <si>
    <t>gas flow</t>
  </si>
  <si>
    <t>mass flow fraction</t>
  </si>
  <si>
    <t>gg guess</t>
  </si>
  <si>
    <t>mcc mass flow</t>
  </si>
  <si>
    <t>error</t>
  </si>
  <si>
    <t>injector stiffness</t>
  </si>
  <si>
    <t>lbm/s</t>
  </si>
  <si>
    <t>hp</t>
  </si>
  <si>
    <t>inner diameter</t>
  </si>
  <si>
    <t>ox tank</t>
  </si>
  <si>
    <t>impulse</t>
  </si>
  <si>
    <t>lbf-s</t>
  </si>
  <si>
    <t>Vehicle</t>
  </si>
  <si>
    <t>N-s</t>
  </si>
  <si>
    <t>burn time</t>
  </si>
  <si>
    <t>s</t>
  </si>
  <si>
    <t>fuel tank</t>
  </si>
  <si>
    <t>kg</t>
  </si>
  <si>
    <t>prop mass</t>
  </si>
  <si>
    <t>lbm</t>
  </si>
  <si>
    <t>prop volume</t>
  </si>
  <si>
    <t>m3</t>
  </si>
  <si>
    <t>gal</t>
  </si>
  <si>
    <t>approx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</si>
</sst>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0" borderId="5" xfId="0" applyBorder="1"/>
    <xf numFmtId="165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6" xfId="0" applyBorder="1"/>
    <xf numFmtId="165" fontId="0" fillId="2" borderId="7" xfId="0" applyNumberFormat="1" applyFill="1" applyBorder="1"/>
    <xf numFmtId="0" fontId="1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9" xfId="0" applyBorder="1"/>
    <xf numFmtId="0" fontId="0" fillId="0" borderId="11" xfId="0" applyBorder="1"/>
    <xf numFmtId="0" fontId="0" fillId="2" borderId="4" xfId="0" applyFill="1" applyBorder="1"/>
    <xf numFmtId="2" fontId="0" fillId="0" borderId="4" xfId="0" applyNumberFormat="1" applyBorder="1"/>
    <xf numFmtId="165" fontId="0" fillId="0" borderId="4" xfId="0" applyNumberFormat="1" applyBorder="1"/>
    <xf numFmtId="164" fontId="0" fillId="0" borderId="4" xfId="0" applyNumberFormat="1" applyBorder="1"/>
    <xf numFmtId="166" fontId="0" fillId="0" borderId="0" xfId="0" applyNumberFormat="1"/>
    <xf numFmtId="1" fontId="0" fillId="0" borderId="0" xfId="0" applyNumberFormat="1"/>
    <xf numFmtId="166" fontId="0" fillId="0" borderId="4" xfId="0" applyNumberFormat="1" applyBorder="1"/>
    <xf numFmtId="1" fontId="0" fillId="0" borderId="4" xfId="0" applyNumberFormat="1" applyBorder="1"/>
    <xf numFmtId="0" fontId="1" fillId="3" borderId="9" xfId="0" applyFont="1" applyFill="1" applyBorder="1"/>
    <xf numFmtId="0" fontId="0" fillId="3" borderId="10" xfId="0" applyFill="1" applyBorder="1"/>
    <xf numFmtId="0" fontId="0" fillId="3" borderId="11" xfId="0" applyFill="1" applyBorder="1"/>
    <xf numFmtId="165" fontId="0" fillId="0" borderId="10" xfId="0" applyNumberFormat="1" applyBorder="1"/>
    <xf numFmtId="0" fontId="0" fillId="0" borderId="1" xfId="0" applyBorder="1"/>
    <xf numFmtId="0" fontId="0" fillId="2" borderId="2" xfId="0" applyFill="1" applyBorder="1"/>
    <xf numFmtId="2" fontId="0" fillId="0" borderId="5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65" fontId="0" fillId="0" borderId="4" xfId="0" applyNumberFormat="1" applyBorder="1" applyAlignment="1">
      <alignment horizontal="right" vertical="center"/>
    </xf>
    <xf numFmtId="166" fontId="0" fillId="0" borderId="6" xfId="0" applyNumberFormat="1" applyBorder="1"/>
    <xf numFmtId="1" fontId="0" fillId="0" borderId="2" xfId="0" applyNumberFormat="1" applyBorder="1"/>
    <xf numFmtId="1" fontId="0" fillId="0" borderId="7" xfId="0" applyNumberFormat="1" applyBorder="1"/>
    <xf numFmtId="1" fontId="0" fillId="0" borderId="6" xfId="0" applyNumberFormat="1" applyBorder="1"/>
    <xf numFmtId="165" fontId="0" fillId="2" borderId="0" xfId="0" applyNumberFormat="1" applyFill="1"/>
    <xf numFmtId="1" fontId="0" fillId="0" borderId="10" xfId="0" applyNumberFormat="1" applyBorder="1"/>
    <xf numFmtId="1" fontId="0" fillId="2" borderId="10" xfId="0" applyNumberFormat="1" applyFill="1" applyBorder="1"/>
    <xf numFmtId="1" fontId="0" fillId="0" borderId="11" xfId="0" applyNumberFormat="1" applyBorder="1"/>
    <xf numFmtId="0" fontId="0" fillId="3" borderId="9" xfId="0" applyFill="1" applyBorder="1"/>
    <xf numFmtId="1" fontId="0" fillId="0" borderId="1" xfId="0" applyNumberFormat="1" applyBorder="1"/>
    <xf numFmtId="0" fontId="0" fillId="0" borderId="0" xfId="0" applyBorder="1"/>
    <xf numFmtId="0" fontId="0" fillId="2" borderId="0" xfId="0" applyFill="1" applyBorder="1"/>
    <xf numFmtId="1" fontId="0" fillId="0" borderId="0" xfId="0" applyNumberFormat="1" applyBorder="1"/>
    <xf numFmtId="2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 applyBorder="1" applyAlignment="1">
      <alignment horizontal="right" vertical="center" indent="2"/>
    </xf>
    <xf numFmtId="166" fontId="0" fillId="0" borderId="0" xfId="0" applyNumberFormat="1" applyBorder="1"/>
    <xf numFmtId="1" fontId="0" fillId="2" borderId="2" xfId="0" applyNumberFormat="1" applyFill="1" applyBorder="1"/>
    <xf numFmtId="1" fontId="0" fillId="0" borderId="3" xfId="0" applyNumberFormat="1" applyBorder="1"/>
    <xf numFmtId="1" fontId="0" fillId="0" borderId="0" xfId="0" applyNumberFormat="1" applyFill="1" applyBorder="1"/>
    <xf numFmtId="0" fontId="0" fillId="0" borderId="0" xfId="0" applyFill="1" applyBorder="1"/>
    <xf numFmtId="2" fontId="0" fillId="0" borderId="7" xfId="0" applyNumberFormat="1" applyBorder="1"/>
    <xf numFmtId="0" fontId="0" fillId="0" borderId="2" xfId="0" applyFill="1" applyBorder="1"/>
    <xf numFmtId="2" fontId="0" fillId="2" borderId="2" xfId="0" applyNumberFormat="1" applyFill="1" applyBorder="1"/>
    <xf numFmtId="1" fontId="0" fillId="2" borderId="7" xfId="0" applyNumberFormat="1" applyFill="1" applyBorder="1"/>
    <xf numFmtId="2" fontId="0" fillId="0" borderId="8" xfId="0" applyNumberFormat="1" applyBorder="1"/>
    <xf numFmtId="2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666750</xdr:colOff>
      <xdr:row>4</xdr:row>
      <xdr:rowOff>116988</xdr:rowOff>
    </xdr:from>
    <xdr:to>
      <xdr:col>17</xdr:col>
      <xdr:colOff>475086</xdr:colOff>
      <xdr:row>7</xdr:row>
      <xdr:rowOff>167719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A95E64-EF9D-4325-8DA2-4F1145977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482748"/>
          <a:ext cx="5485236" cy="599371"/>
        </a:xfrm>
        <a:prstGeom prst="rect">
          <a:avLst/>
        </a:prstGeom>
      </xdr:spPr>
    </xdr:pic>
    <xdr:clientData/>
  </xdr:twoCellAnchor>
  <xdr:twoCellAnchor editAs="oneCell">
    <xdr:from>
      <xdr:col>11</xdr:col>
      <xdr:colOff>1112520</xdr:colOff>
      <xdr:row>10</xdr:row>
      <xdr:rowOff>66868</xdr:rowOff>
    </xdr:from>
    <xdr:to>
      <xdr:col>16</xdr:col>
      <xdr:colOff>1105605</xdr:colOff>
      <xdr:row>24</xdr:row>
      <xdr:rowOff>135583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42283B-A5FD-423E-8A4B-74ADC1C50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16340" y="1529908"/>
          <a:ext cx="5669985" cy="2629035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16</xdr:col>
      <xdr:colOff>83820</xdr:colOff>
      <xdr:row>27</xdr:row>
      <xdr:rowOff>124767</xdr:rowOff>
    </xdr:from>
    <xdr:to>
      <xdr:col>21</xdr:col>
      <xdr:colOff>856098</xdr:colOff>
      <xdr:row>35</xdr:row>
      <xdr:rowOff>167816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55BC5D4-9D06-465B-8FCA-B499CDA5D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64540" y="4513887"/>
          <a:ext cx="6449178" cy="1506089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11</xdr:col>
      <xdr:colOff>441960</xdr:colOff>
      <xdr:row>42</xdr:row>
      <xdr:rowOff>138328</xdr:rowOff>
    </xdr:from>
    <xdr:to>
      <xdr:col>16</xdr:col>
      <xdr:colOff>442865</xdr:colOff>
      <xdr:row>59</xdr:row>
      <xdr:rowOff>130035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7E011-D6FA-4FE5-8CF3-A49C5AB43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45780" y="7270648"/>
          <a:ext cx="5677805" cy="3100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129540</xdr:rowOff>
        </xdr:from>
        <xdr:to>
          <xdr:col>9</xdr:col>
          <xdr:colOff>800100</xdr:colOff>
          <xdr:row>10</xdr:row>
          <xdr:rowOff>60960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2CF04982-77B3-48BC-A220-2D5EE3539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Balance Mass Flow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832484</xdr:colOff>
      <xdr:row>27</xdr:row>
      <xdr:rowOff>159761</xdr:rowOff>
    </xdr:from>
    <xdr:to>
      <xdr:col>15</xdr:col>
      <xdr:colOff>935887</xdr:colOff>
      <xdr:row>40</xdr:row>
      <xdr:rowOff>76458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0B9E25D-C426-4526-841B-4430571E4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36304" y="4548881"/>
          <a:ext cx="4644923" cy="22941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666750</xdr:colOff>
      <xdr:row>3</xdr:row>
      <xdr:rowOff>116988</xdr:rowOff>
    </xdr:from>
    <xdr:to>
      <xdr:col>17</xdr:col>
      <xdr:colOff>475086</xdr:colOff>
      <xdr:row>6</xdr:row>
      <xdr:rowOff>167719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55EF06-3A9C-435B-B108-2858525CB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482748"/>
          <a:ext cx="5485236" cy="599371"/>
        </a:xfrm>
        <a:prstGeom prst="rect">
          <a:avLst/>
        </a:prstGeom>
      </xdr:spPr>
    </xdr:pic>
    <xdr:clientData/>
  </xdr:twoCellAnchor>
  <xdr:twoCellAnchor editAs="oneCell">
    <xdr:from>
      <xdr:col>11</xdr:col>
      <xdr:colOff>1112520</xdr:colOff>
      <xdr:row>9</xdr:row>
      <xdr:rowOff>66868</xdr:rowOff>
    </xdr:from>
    <xdr:to>
      <xdr:col>16</xdr:col>
      <xdr:colOff>1105605</xdr:colOff>
      <xdr:row>23</xdr:row>
      <xdr:rowOff>135583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DF170B-EA53-496E-B187-327BA9EE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16340" y="1529908"/>
          <a:ext cx="5669985" cy="2629035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16</xdr:col>
      <xdr:colOff>83820</xdr:colOff>
      <xdr:row>26</xdr:row>
      <xdr:rowOff>124767</xdr:rowOff>
    </xdr:from>
    <xdr:to>
      <xdr:col>21</xdr:col>
      <xdr:colOff>856098</xdr:colOff>
      <xdr:row>34</xdr:row>
      <xdr:rowOff>167816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5DEAC50-197C-4ACA-8368-CFFF25C0E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64540" y="4513887"/>
          <a:ext cx="6449178" cy="1506089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12</xdr:col>
      <xdr:colOff>205740</xdr:colOff>
      <xdr:row>41</xdr:row>
      <xdr:rowOff>31648</xdr:rowOff>
    </xdr:from>
    <xdr:to>
      <xdr:col>17</xdr:col>
      <xdr:colOff>206645</xdr:colOff>
      <xdr:row>58</xdr:row>
      <xdr:rowOff>23355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371218-DBA5-4D96-9D5F-008FAE9D9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44940" y="7163968"/>
          <a:ext cx="5677805" cy="3100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129540</xdr:rowOff>
        </xdr:from>
        <xdr:to>
          <xdr:col>9</xdr:col>
          <xdr:colOff>800100</xdr:colOff>
          <xdr:row>9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Balance Mass Flow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832484</xdr:colOff>
      <xdr:row>26</xdr:row>
      <xdr:rowOff>159761</xdr:rowOff>
    </xdr:from>
    <xdr:to>
      <xdr:col>15</xdr:col>
      <xdr:colOff>935887</xdr:colOff>
      <xdr:row>39</xdr:row>
      <xdr:rowOff>76458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CC3D8A3-9D2F-430C-AC39-68699635B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36304" y="4548881"/>
          <a:ext cx="4644923" cy="2294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666750</xdr:colOff>
      <xdr:row>3</xdr:row>
      <xdr:rowOff>116988</xdr:rowOff>
    </xdr:from>
    <xdr:to>
      <xdr:col>17</xdr:col>
      <xdr:colOff>475086</xdr:colOff>
      <xdr:row>6</xdr:row>
      <xdr:rowOff>167719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E194A0-23E7-0734-4392-5DC42C2D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478938"/>
          <a:ext cx="5487141" cy="593656"/>
        </a:xfrm>
        <a:prstGeom prst="rect">
          <a:avLst/>
        </a:prstGeom>
      </xdr:spPr>
    </xdr:pic>
    <xdr:clientData/>
  </xdr:twoCellAnchor>
  <xdr:twoCellAnchor editAs="oneCell">
    <xdr:from>
      <xdr:col>11</xdr:col>
      <xdr:colOff>1112520</xdr:colOff>
      <xdr:row>9</xdr:row>
      <xdr:rowOff>66868</xdr:rowOff>
    </xdr:from>
    <xdr:to>
      <xdr:col>16</xdr:col>
      <xdr:colOff>1105605</xdr:colOff>
      <xdr:row>23</xdr:row>
      <xdr:rowOff>135583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061325-6D04-DB07-4A1D-EF17E9EF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0960" y="1529908"/>
          <a:ext cx="5669985" cy="2638560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16</xdr:col>
      <xdr:colOff>83820</xdr:colOff>
      <xdr:row>26</xdr:row>
      <xdr:rowOff>124767</xdr:rowOff>
    </xdr:from>
    <xdr:to>
      <xdr:col>21</xdr:col>
      <xdr:colOff>856098</xdr:colOff>
      <xdr:row>34</xdr:row>
      <xdr:rowOff>167816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5C9A4CF-C954-D470-C5BD-2E4240508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56920" y="4287192"/>
          <a:ext cx="6443463" cy="1494659"/>
        </a:xfrm>
        <a:prstGeom prst="rect">
          <a:avLst/>
        </a:prstGeom>
        <a:ln w="38100">
          <a:solidFill>
            <a:srgbClr val="0070C0"/>
          </a:solidFill>
        </a:ln>
      </xdr:spPr>
    </xdr:pic>
    <xdr:clientData/>
  </xdr:twoCellAnchor>
  <xdr:twoCellAnchor editAs="oneCell">
    <xdr:from>
      <xdr:col>0</xdr:col>
      <xdr:colOff>365760</xdr:colOff>
      <xdr:row>43</xdr:row>
      <xdr:rowOff>24028</xdr:rowOff>
    </xdr:from>
    <xdr:to>
      <xdr:col>8</xdr:col>
      <xdr:colOff>16145</xdr:colOff>
      <xdr:row>60</xdr:row>
      <xdr:rowOff>15735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FC7C14-3E5B-EA0A-71FC-7A6FC0201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760" y="7156348"/>
          <a:ext cx="5677805" cy="3108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129540</xdr:rowOff>
        </xdr:from>
        <xdr:to>
          <xdr:col>9</xdr:col>
          <xdr:colOff>800100</xdr:colOff>
          <xdr:row>9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Balance Mass Flow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832484</xdr:colOff>
      <xdr:row>26</xdr:row>
      <xdr:rowOff>159761</xdr:rowOff>
    </xdr:from>
    <xdr:to>
      <xdr:col>15</xdr:col>
      <xdr:colOff>935887</xdr:colOff>
      <xdr:row>39</xdr:row>
      <xdr:rowOff>76458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057DF52-B20A-1554-D532-021801865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38209" y="4322186"/>
          <a:ext cx="4644923" cy="22693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12</xdr:col>
      <xdr:colOff>84250</xdr:colOff>
      <xdr:row>30</xdr:row>
      <xdr:rowOff>69046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C248F0-06F2-49A9-4BA5-32F41A312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182880"/>
          <a:ext cx="4961050" cy="53725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A1D46-2A71-4035-B6D6-F0259AD0BEB9}">
  <sheetPr codeName="Sheet4"/>
  <dimension ref="B2:K48"/>
  <sheetViews>
    <sheetView showGridLines="0" tabSelected="1" workbookViewId="0">
      <selection activeCell="I36" sqref="I36"/>
    </sheetView>
  </sheetViews>
  <sheetFormatPr defaultColWidth="16.5546875" defaultRowHeight="14.4" x14ac:dyDescent="0.3"/>
  <cols>
    <col min="1" max="1" width="9.33203125" customWidth="1"/>
    <col min="2" max="2" width="18.88671875" customWidth="1"/>
    <col min="3" max="3" width="11.6640625" customWidth="1"/>
    <col min="4" max="4" width="7.88671875" customWidth="1"/>
    <col min="5" max="5" width="10.77734375" customWidth="1"/>
    <col min="6" max="6" width="6.33203125" customWidth="1"/>
    <col min="7" max="7" width="2.21875" customWidth="1"/>
    <col min="9" max="9" width="6.88671875" customWidth="1"/>
    <col min="10" max="10" width="11.6640625" customWidth="1"/>
    <col min="11" max="11" width="5.88671875" customWidth="1"/>
  </cols>
  <sheetData>
    <row r="2" spans="2:11" x14ac:dyDescent="0.3">
      <c r="B2" s="12" t="s">
        <v>58</v>
      </c>
      <c r="C2" s="13"/>
      <c r="D2" s="13"/>
      <c r="E2" s="13"/>
      <c r="F2" s="14"/>
    </row>
    <row r="3" spans="2:11" x14ac:dyDescent="0.3">
      <c r="B3" s="29" t="s">
        <v>60</v>
      </c>
      <c r="C3" s="59">
        <v>10</v>
      </c>
      <c r="D3" s="2" t="s">
        <v>61</v>
      </c>
      <c r="E3" s="58"/>
      <c r="F3" s="3"/>
    </row>
    <row r="4" spans="2:11" x14ac:dyDescent="0.3">
      <c r="B4" s="10" t="s">
        <v>56</v>
      </c>
      <c r="C4" s="8">
        <f>C7*C3</f>
        <v>222410</v>
      </c>
      <c r="D4" s="8" t="s">
        <v>59</v>
      </c>
      <c r="E4" s="60">
        <f>C4/4.44822</f>
        <v>49999.775190975262</v>
      </c>
      <c r="F4" s="9" t="s">
        <v>57</v>
      </c>
    </row>
    <row r="6" spans="2:11" x14ac:dyDescent="0.3">
      <c r="B6" s="12" t="s">
        <v>14</v>
      </c>
      <c r="C6" s="13"/>
      <c r="D6" s="13"/>
      <c r="E6" s="13"/>
      <c r="F6" s="14"/>
    </row>
    <row r="7" spans="2:11" x14ac:dyDescent="0.3">
      <c r="B7" s="29" t="s">
        <v>15</v>
      </c>
      <c r="C7" s="2">
        <f>E7*4.4482</f>
        <v>22241</v>
      </c>
      <c r="D7" s="2" t="s">
        <v>17</v>
      </c>
      <c r="E7" s="30">
        <v>5000</v>
      </c>
      <c r="F7" s="3" t="s">
        <v>16</v>
      </c>
    </row>
    <row r="8" spans="2:11" x14ac:dyDescent="0.3">
      <c r="B8" s="4" t="s">
        <v>18</v>
      </c>
      <c r="C8">
        <f>E8*100000</f>
        <v>5000000</v>
      </c>
      <c r="D8" t="s">
        <v>7</v>
      </c>
      <c r="E8" s="5">
        <v>50</v>
      </c>
      <c r="F8" s="6" t="s">
        <v>4</v>
      </c>
    </row>
    <row r="9" spans="2:11" x14ac:dyDescent="0.3">
      <c r="B9" s="4" t="s">
        <v>19</v>
      </c>
      <c r="C9" s="5">
        <v>1700</v>
      </c>
      <c r="D9" t="s">
        <v>20</v>
      </c>
      <c r="F9" s="6"/>
    </row>
    <row r="10" spans="2:11" x14ac:dyDescent="0.3">
      <c r="B10" s="4" t="s">
        <v>21</v>
      </c>
      <c r="C10" s="5">
        <v>1.5</v>
      </c>
      <c r="F10" s="6"/>
    </row>
    <row r="11" spans="2:11" x14ac:dyDescent="0.3">
      <c r="B11" s="4" t="s">
        <v>49</v>
      </c>
      <c r="C11" s="7">
        <f>C7/C10/C9</f>
        <v>8.7219607843137261</v>
      </c>
      <c r="D11" t="s">
        <v>13</v>
      </c>
      <c r="F11" s="6"/>
    </row>
    <row r="12" spans="2:11" x14ac:dyDescent="0.3">
      <c r="B12" s="4" t="s">
        <v>48</v>
      </c>
      <c r="C12" s="7">
        <v>0.84282572690321333</v>
      </c>
      <c r="D12" t="s">
        <v>13</v>
      </c>
      <c r="F12" s="6"/>
      <c r="H12" s="15" t="s">
        <v>50</v>
      </c>
      <c r="I12" s="28">
        <f>C12-C39</f>
        <v>0</v>
      </c>
      <c r="J12" s="16" t="s">
        <v>13</v>
      </c>
    </row>
    <row r="13" spans="2:11" x14ac:dyDescent="0.3">
      <c r="B13" s="4" t="s">
        <v>22</v>
      </c>
      <c r="C13" s="39">
        <v>2.5</v>
      </c>
      <c r="F13" s="6"/>
    </row>
    <row r="14" spans="2:11" x14ac:dyDescent="0.3">
      <c r="B14" s="10" t="s">
        <v>51</v>
      </c>
      <c r="C14" s="11">
        <v>1.2</v>
      </c>
      <c r="D14" s="8"/>
      <c r="E14" s="8"/>
      <c r="F14" s="9"/>
    </row>
    <row r="16" spans="2:11" x14ac:dyDescent="0.3">
      <c r="B16" s="12" t="s">
        <v>5</v>
      </c>
      <c r="C16" s="13"/>
      <c r="D16" s="13"/>
      <c r="E16" s="13"/>
      <c r="F16" s="14"/>
      <c r="H16" s="12" t="s">
        <v>27</v>
      </c>
      <c r="I16" s="13"/>
      <c r="J16" s="13"/>
      <c r="K16" s="14"/>
    </row>
    <row r="17" spans="2:11" x14ac:dyDescent="0.3">
      <c r="B17" s="29" t="s">
        <v>0</v>
      </c>
      <c r="C17" s="2">
        <f>E17*2*3.1416/60</f>
        <v>2094.4</v>
      </c>
      <c r="D17" s="2" t="s">
        <v>2</v>
      </c>
      <c r="E17" s="30">
        <v>20000</v>
      </c>
      <c r="F17" s="3" t="s">
        <v>1</v>
      </c>
      <c r="H17" s="29">
        <f>J17*2*3.1416/60</f>
        <v>2094.4</v>
      </c>
      <c r="I17" s="2" t="s">
        <v>2</v>
      </c>
      <c r="J17" s="30">
        <v>20000</v>
      </c>
      <c r="K17" s="3" t="s">
        <v>1</v>
      </c>
    </row>
    <row r="18" spans="2:11" x14ac:dyDescent="0.3">
      <c r="B18" s="4" t="s">
        <v>8</v>
      </c>
      <c r="C18" s="45">
        <f>E18*100000</f>
        <v>500000</v>
      </c>
      <c r="D18" s="45" t="s">
        <v>7</v>
      </c>
      <c r="E18" s="46">
        <v>5</v>
      </c>
      <c r="F18" s="6" t="s">
        <v>4</v>
      </c>
      <c r="H18" s="4">
        <f>J18*100000</f>
        <v>500000</v>
      </c>
      <c r="I18" s="45" t="s">
        <v>7</v>
      </c>
      <c r="J18" s="46">
        <v>5</v>
      </c>
      <c r="K18" s="6" t="s">
        <v>4</v>
      </c>
    </row>
    <row r="19" spans="2:11" x14ac:dyDescent="0.3">
      <c r="B19" s="4" t="s">
        <v>6</v>
      </c>
      <c r="C19" s="45">
        <f>E19*100000</f>
        <v>6000000</v>
      </c>
      <c r="D19" s="45" t="s">
        <v>7</v>
      </c>
      <c r="E19" s="46">
        <f>E8*C14</f>
        <v>60</v>
      </c>
      <c r="F19" s="6" t="s">
        <v>4</v>
      </c>
      <c r="H19" s="4">
        <f>J19*100000</f>
        <v>6500000</v>
      </c>
      <c r="I19" s="45" t="s">
        <v>7</v>
      </c>
      <c r="J19" s="46">
        <f>E8*C14+5</f>
        <v>65</v>
      </c>
      <c r="K19" s="6" t="s">
        <v>4</v>
      </c>
    </row>
    <row r="20" spans="2:11" x14ac:dyDescent="0.3">
      <c r="B20" s="4" t="s">
        <v>9</v>
      </c>
      <c r="C20" s="46">
        <v>1141</v>
      </c>
      <c r="D20" s="45" t="s">
        <v>10</v>
      </c>
      <c r="E20" s="45"/>
      <c r="F20" s="6"/>
      <c r="H20" s="17">
        <v>800</v>
      </c>
      <c r="I20" s="45" t="s">
        <v>10</v>
      </c>
      <c r="J20" s="45"/>
      <c r="K20" s="6"/>
    </row>
    <row r="21" spans="2:11" x14ac:dyDescent="0.3">
      <c r="B21" s="4" t="s">
        <v>3</v>
      </c>
      <c r="C21" s="47">
        <f>(C19-C18)/(C20*9.81)</f>
        <v>491.36932122241961</v>
      </c>
      <c r="D21" s="45" t="s">
        <v>11</v>
      </c>
      <c r="E21" s="45"/>
      <c r="F21" s="6"/>
      <c r="H21" s="24">
        <f>(H19-H18)/(H20*9.81)</f>
        <v>764.52599388379201</v>
      </c>
      <c r="I21" s="45" t="s">
        <v>11</v>
      </c>
      <c r="J21" s="45"/>
      <c r="K21" s="6"/>
    </row>
    <row r="22" spans="2:11" x14ac:dyDescent="0.3">
      <c r="B22" s="4" t="s">
        <v>12</v>
      </c>
      <c r="C22" s="48">
        <f>(C11+C12)*C13/(C13+1)</f>
        <v>6.8319903651549563</v>
      </c>
      <c r="D22" s="45" t="s">
        <v>13</v>
      </c>
      <c r="E22" s="45"/>
      <c r="F22" s="6"/>
      <c r="H22" s="18">
        <f>(C11+C12)*1/(C13+1)</f>
        <v>2.7327961460619825</v>
      </c>
      <c r="I22" s="45" t="s">
        <v>13</v>
      </c>
      <c r="J22" s="45"/>
      <c r="K22" s="6"/>
    </row>
    <row r="23" spans="2:11" x14ac:dyDescent="0.3">
      <c r="B23" s="4" t="s">
        <v>23</v>
      </c>
      <c r="C23" s="49">
        <f>C22/C20</f>
        <v>5.9877216171384364E-3</v>
      </c>
      <c r="D23" s="45" t="s">
        <v>24</v>
      </c>
      <c r="E23" s="45"/>
      <c r="F23" s="6"/>
      <c r="H23" s="20">
        <f>H22/H20</f>
        <v>3.4159951825774781E-3</v>
      </c>
      <c r="I23" s="45" t="s">
        <v>24</v>
      </c>
      <c r="J23" s="45"/>
      <c r="K23" s="6"/>
    </row>
    <row r="24" spans="2:11" x14ac:dyDescent="0.3">
      <c r="B24" s="4" t="s">
        <v>25</v>
      </c>
      <c r="C24" s="50">
        <f>C17*C23^0.5/(9.81*C21)^0.75</f>
        <v>0.2801448517465448</v>
      </c>
      <c r="D24" s="45"/>
      <c r="E24" s="47">
        <f>C24*2730</f>
        <v>764.79544526806728</v>
      </c>
      <c r="F24" s="6" t="s">
        <v>26</v>
      </c>
      <c r="H24" s="19">
        <f>C17*H23^0.5/(9.81*H21)^0.75</f>
        <v>0.15188759532539789</v>
      </c>
      <c r="I24" s="45"/>
      <c r="J24" s="47">
        <f>H24*2730</f>
        <v>414.65313523833623</v>
      </c>
      <c r="K24" s="6" t="s">
        <v>26</v>
      </c>
    </row>
    <row r="25" spans="2:11" x14ac:dyDescent="0.3">
      <c r="B25" s="4" t="s">
        <v>28</v>
      </c>
      <c r="C25" s="51">
        <f>0.605*EXP(-0.408*C24)</f>
        <v>0.53965462873113823</v>
      </c>
      <c r="D25" s="45"/>
      <c r="E25" s="48"/>
      <c r="F25" s="6"/>
      <c r="H25" s="34">
        <f>0.605*EXP(-0.408*H24)</f>
        <v>0.56864612665805292</v>
      </c>
      <c r="I25" s="45"/>
      <c r="J25" s="45"/>
      <c r="K25" s="6"/>
    </row>
    <row r="26" spans="2:11" x14ac:dyDescent="0.3">
      <c r="B26" s="4"/>
      <c r="C26" s="45"/>
      <c r="D26" s="45"/>
      <c r="E26" s="45"/>
      <c r="F26" s="6"/>
      <c r="H26" s="4"/>
      <c r="I26" s="45"/>
      <c r="J26" s="45"/>
      <c r="K26" s="6"/>
    </row>
    <row r="27" spans="2:11" x14ac:dyDescent="0.3">
      <c r="B27" s="4" t="s">
        <v>29</v>
      </c>
      <c r="C27" s="49">
        <f>2/C17*SQRT(9.81*C21/C25)</f>
        <v>9.0250774129528019E-2</v>
      </c>
      <c r="D27" s="49" t="s">
        <v>11</v>
      </c>
      <c r="E27" s="48">
        <f>C27/25.4*1000</f>
        <v>3.5531800838396861</v>
      </c>
      <c r="F27" s="31" t="s">
        <v>30</v>
      </c>
      <c r="G27" s="1"/>
      <c r="H27" s="18">
        <f>2/C17*SQRT(9.81*H21/H25)</f>
        <v>0.10966800811462205</v>
      </c>
      <c r="I27" s="48" t="s">
        <v>11</v>
      </c>
      <c r="J27" s="48">
        <f>H27/25.4*1000</f>
        <v>4.3176381147488998</v>
      </c>
      <c r="K27" s="31" t="s">
        <v>30</v>
      </c>
    </row>
    <row r="28" spans="2:11" x14ac:dyDescent="0.3">
      <c r="B28" s="4"/>
      <c r="C28" s="45"/>
      <c r="D28" s="45"/>
      <c r="E28" s="45"/>
      <c r="F28" s="6"/>
      <c r="H28" s="4"/>
      <c r="I28" s="45"/>
      <c r="J28" s="45"/>
      <c r="K28" s="6"/>
    </row>
    <row r="29" spans="2:11" x14ac:dyDescent="0.3">
      <c r="B29" s="4" t="s">
        <v>31</v>
      </c>
      <c r="C29" s="46">
        <v>0.5</v>
      </c>
      <c r="D29" s="45"/>
      <c r="E29" s="45"/>
      <c r="F29" s="6"/>
      <c r="H29" s="17">
        <v>0.5</v>
      </c>
      <c r="I29" s="45"/>
      <c r="J29" s="45"/>
      <c r="K29" s="6"/>
    </row>
    <row r="30" spans="2:11" x14ac:dyDescent="0.3">
      <c r="B30" s="10" t="s">
        <v>36</v>
      </c>
      <c r="C30" s="37">
        <f>C20*9.81*C21*C23/C29</f>
        <v>65864.937788522802</v>
      </c>
      <c r="D30" s="32" t="s">
        <v>37</v>
      </c>
      <c r="E30" s="32">
        <f>C30/1000</f>
        <v>65.864937788522809</v>
      </c>
      <c r="F30" s="33" t="s">
        <v>38</v>
      </c>
      <c r="G30" s="21"/>
      <c r="H30" s="38">
        <f>H20*9.81*H21*H23/H29</f>
        <v>40991.942190929738</v>
      </c>
      <c r="I30" s="32" t="s">
        <v>37</v>
      </c>
      <c r="J30" s="32">
        <f>H30/1000</f>
        <v>40.991942190929741</v>
      </c>
      <c r="K30" s="33" t="s">
        <v>38</v>
      </c>
    </row>
    <row r="32" spans="2:11" x14ac:dyDescent="0.3">
      <c r="B32" s="25" t="s">
        <v>32</v>
      </c>
      <c r="C32" s="26"/>
      <c r="D32" s="26"/>
      <c r="E32" s="26"/>
      <c r="F32" s="27"/>
      <c r="H32" s="25" t="s">
        <v>43</v>
      </c>
      <c r="I32" s="26"/>
      <c r="J32" s="26"/>
      <c r="K32" s="27"/>
    </row>
    <row r="33" spans="2:11" x14ac:dyDescent="0.3">
      <c r="B33" s="29" t="s">
        <v>34</v>
      </c>
      <c r="C33" s="36">
        <f>C30+H30</f>
        <v>106856.87997945254</v>
      </c>
      <c r="D33" s="2" t="s">
        <v>37</v>
      </c>
      <c r="E33" s="2"/>
      <c r="F33" s="3"/>
      <c r="H33" t="s">
        <v>47</v>
      </c>
      <c r="I33">
        <f>C39/(C39+C11)</f>
        <v>8.811756811454223E-2</v>
      </c>
    </row>
    <row r="34" spans="2:11" x14ac:dyDescent="0.3">
      <c r="B34" s="4" t="s">
        <v>33</v>
      </c>
      <c r="C34" s="5">
        <v>0.7</v>
      </c>
      <c r="F34" s="6"/>
    </row>
    <row r="35" spans="2:11" x14ac:dyDescent="0.3">
      <c r="B35" s="4" t="s">
        <v>35</v>
      </c>
      <c r="C35" s="22">
        <f>C33/C34</f>
        <v>152652.68568493222</v>
      </c>
      <c r="D35" t="s">
        <v>37</v>
      </c>
      <c r="F35" s="6"/>
    </row>
    <row r="36" spans="2:11" x14ac:dyDescent="0.3">
      <c r="B36" s="4" t="s">
        <v>39</v>
      </c>
      <c r="C36" s="21">
        <f>C35/C17</f>
        <v>72.88611806958184</v>
      </c>
      <c r="D36" t="s">
        <v>40</v>
      </c>
      <c r="F36" s="6"/>
    </row>
    <row r="37" spans="2:11" x14ac:dyDescent="0.3">
      <c r="B37" s="4" t="s">
        <v>41</v>
      </c>
      <c r="C37" s="7">
        <f>E37*25.4/1000</f>
        <v>0.20319999999999999</v>
      </c>
      <c r="D37" t="s">
        <v>11</v>
      </c>
      <c r="E37" s="5">
        <v>8</v>
      </c>
      <c r="F37" s="6" t="s">
        <v>30</v>
      </c>
    </row>
    <row r="38" spans="2:11" x14ac:dyDescent="0.3">
      <c r="B38" s="4" t="s">
        <v>42</v>
      </c>
      <c r="C38" s="21">
        <f>C37*C17</f>
        <v>425.58208000000002</v>
      </c>
      <c r="D38" t="s">
        <v>20</v>
      </c>
      <c r="F38" s="6"/>
    </row>
    <row r="39" spans="2:11" x14ac:dyDescent="0.3">
      <c r="B39" s="4" t="s">
        <v>46</v>
      </c>
      <c r="C39" s="7">
        <f>C36/C37/C38</f>
        <v>0.84282572690321333</v>
      </c>
      <c r="D39" t="s">
        <v>13</v>
      </c>
      <c r="F39" s="6"/>
    </row>
    <row r="40" spans="2:11" x14ac:dyDescent="0.3">
      <c r="B40" s="4"/>
      <c r="F40" s="6"/>
    </row>
    <row r="41" spans="2:11" x14ac:dyDescent="0.3">
      <c r="B41" s="4" t="s">
        <v>44</v>
      </c>
      <c r="C41" s="5">
        <v>0.41</v>
      </c>
      <c r="F41" s="6"/>
    </row>
    <row r="42" spans="2:11" x14ac:dyDescent="0.3">
      <c r="B42" s="10" t="s">
        <v>45</v>
      </c>
      <c r="C42" s="32">
        <f>C38/C41</f>
        <v>1038.0050731707317</v>
      </c>
      <c r="D42" s="8" t="s">
        <v>20</v>
      </c>
      <c r="E42" s="8"/>
      <c r="F42" s="9"/>
    </row>
    <row r="44" spans="2:11" x14ac:dyDescent="0.3">
      <c r="B44" s="25" t="s">
        <v>55</v>
      </c>
      <c r="C44" s="26"/>
      <c r="D44" s="26"/>
      <c r="E44" s="26"/>
      <c r="F44" s="27"/>
      <c r="H44" s="25" t="s">
        <v>62</v>
      </c>
      <c r="I44" s="26"/>
      <c r="J44" s="26"/>
      <c r="K44" s="27"/>
    </row>
    <row r="45" spans="2:11" x14ac:dyDescent="0.3">
      <c r="B45" s="29" t="s">
        <v>54</v>
      </c>
      <c r="C45" s="2">
        <f>E45*0.0254</f>
        <v>0.20319999999999999</v>
      </c>
      <c r="D45" s="2" t="s">
        <v>11</v>
      </c>
      <c r="E45" s="30">
        <v>8</v>
      </c>
      <c r="F45" s="3" t="s">
        <v>30</v>
      </c>
      <c r="H45" s="29">
        <f>J45*0.0254</f>
        <v>0.20319999999999999</v>
      </c>
      <c r="I45" s="2" t="s">
        <v>11</v>
      </c>
      <c r="J45" s="30">
        <v>8</v>
      </c>
      <c r="K45" s="3" t="s">
        <v>30</v>
      </c>
    </row>
    <row r="46" spans="2:11" x14ac:dyDescent="0.3">
      <c r="B46" s="4" t="s">
        <v>64</v>
      </c>
      <c r="C46" s="52">
        <f>C22*C3</f>
        <v>68.319903651549566</v>
      </c>
      <c r="D46" s="45" t="s">
        <v>63</v>
      </c>
      <c r="E46" s="52">
        <f>C46*2.2</f>
        <v>150.30378803340906</v>
      </c>
      <c r="F46" s="6" t="s">
        <v>65</v>
      </c>
      <c r="H46" s="23">
        <f>H22*C3</f>
        <v>27.327961460619825</v>
      </c>
      <c r="I46" s="45" t="s">
        <v>63</v>
      </c>
      <c r="J46" s="52">
        <f>H46*2.2</f>
        <v>60.121515213363622</v>
      </c>
      <c r="K46" s="6" t="s">
        <v>65</v>
      </c>
    </row>
    <row r="47" spans="2:11" x14ac:dyDescent="0.3">
      <c r="B47" s="4" t="s">
        <v>66</v>
      </c>
      <c r="C47" s="50">
        <f>C46/C20</f>
        <v>5.9877216171384369E-2</v>
      </c>
      <c r="D47" s="45" t="s">
        <v>67</v>
      </c>
      <c r="E47" s="52">
        <f>C47*264.172</f>
        <v>15.817883950426953</v>
      </c>
      <c r="F47" s="6" t="s">
        <v>68</v>
      </c>
      <c r="H47" s="19">
        <f>H46/H20</f>
        <v>3.4159951825774783E-2</v>
      </c>
      <c r="I47" s="45" t="s">
        <v>67</v>
      </c>
      <c r="J47" s="52">
        <f>H47*264.172</f>
        <v>9.0241027937185763</v>
      </c>
      <c r="K47" s="6" t="s">
        <v>68</v>
      </c>
    </row>
    <row r="48" spans="2:11" x14ac:dyDescent="0.3">
      <c r="B48" s="10" t="s">
        <v>69</v>
      </c>
      <c r="C48" s="57">
        <f>C47/(PI()/4*C45^2)</f>
        <v>1.8463937109123698</v>
      </c>
      <c r="D48" s="57" t="s">
        <v>11</v>
      </c>
      <c r="E48" s="32">
        <f>C48/0.0254</f>
        <v>72.692665783951568</v>
      </c>
      <c r="F48" s="61" t="s">
        <v>30</v>
      </c>
      <c r="H48" s="62">
        <f>H47/(PI()/4*H45^2)</f>
        <v>1.0533676120755069</v>
      </c>
      <c r="I48" s="57" t="s">
        <v>11</v>
      </c>
      <c r="J48" s="32">
        <f>H48/0.0254</f>
        <v>41.471165829744365</v>
      </c>
      <c r="K48" s="61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ss_Flow_Goal_Seek">
                <anchor moveWithCells="1" sizeWithCells="1">
                  <from>
                    <xdr:col>7</xdr:col>
                    <xdr:colOff>0</xdr:colOff>
                    <xdr:row>8</xdr:row>
                    <xdr:rowOff>129540</xdr:rowOff>
                  </from>
                  <to>
                    <xdr:col>9</xdr:col>
                    <xdr:colOff>800100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BAAA2-A0AD-4FFE-B995-FDD195E75235}">
  <sheetPr codeName="Sheet3"/>
  <dimension ref="B2:K44"/>
  <sheetViews>
    <sheetView showGridLines="0" workbookViewId="0">
      <selection activeCell="E10" sqref="E9:E10"/>
    </sheetView>
  </sheetViews>
  <sheetFormatPr defaultColWidth="16.5546875" defaultRowHeight="14.4" x14ac:dyDescent="0.3"/>
  <cols>
    <col min="1" max="1" width="9.33203125" customWidth="1"/>
    <col min="2" max="2" width="20.5546875" customWidth="1"/>
    <col min="3" max="3" width="11.6640625" customWidth="1"/>
    <col min="4" max="4" width="10.44140625" customWidth="1"/>
    <col min="5" max="5" width="10.77734375" customWidth="1"/>
    <col min="6" max="6" width="6.33203125" customWidth="1"/>
    <col min="7" max="7" width="2.21875" customWidth="1"/>
    <col min="9" max="9" width="6.88671875" customWidth="1"/>
    <col min="10" max="10" width="11.6640625" customWidth="1"/>
    <col min="11" max="11" width="5.88671875" customWidth="1"/>
  </cols>
  <sheetData>
    <row r="2" spans="2:11" x14ac:dyDescent="0.3">
      <c r="B2" s="25" t="s">
        <v>58</v>
      </c>
      <c r="C2" s="26"/>
      <c r="D2" s="26"/>
      <c r="E2" s="26"/>
      <c r="F2" s="27"/>
    </row>
    <row r="3" spans="2:11" x14ac:dyDescent="0.3">
      <c r="B3" s="15"/>
      <c r="C3" s="40"/>
      <c r="D3" s="40"/>
      <c r="E3" s="41"/>
      <c r="F3" s="42"/>
      <c r="G3" s="22"/>
      <c r="H3" s="55"/>
      <c r="I3" s="55"/>
      <c r="J3" s="55"/>
      <c r="K3" s="56"/>
    </row>
    <row r="5" spans="2:11" x14ac:dyDescent="0.3">
      <c r="B5" s="12" t="s">
        <v>14</v>
      </c>
      <c r="C5" s="13"/>
      <c r="D5" s="13"/>
      <c r="E5" s="13"/>
      <c r="F5" s="14"/>
    </row>
    <row r="6" spans="2:11" x14ac:dyDescent="0.3">
      <c r="B6" s="29" t="s">
        <v>15</v>
      </c>
      <c r="C6" s="2">
        <f>E6*4.4482</f>
        <v>0</v>
      </c>
      <c r="D6" s="2" t="s">
        <v>17</v>
      </c>
      <c r="E6" s="30"/>
      <c r="F6" s="3" t="s">
        <v>16</v>
      </c>
    </row>
    <row r="7" spans="2:11" x14ac:dyDescent="0.3">
      <c r="B7" s="4" t="s">
        <v>18</v>
      </c>
      <c r="C7">
        <f>E7*100000</f>
        <v>0</v>
      </c>
      <c r="D7" t="s">
        <v>7</v>
      </c>
      <c r="E7" s="5"/>
      <c r="F7" s="6" t="s">
        <v>4</v>
      </c>
    </row>
    <row r="8" spans="2:11" x14ac:dyDescent="0.3">
      <c r="B8" s="4" t="s">
        <v>19</v>
      </c>
      <c r="C8" s="5"/>
      <c r="D8" t="s">
        <v>20</v>
      </c>
      <c r="F8" s="6"/>
    </row>
    <row r="9" spans="2:11" x14ac:dyDescent="0.3">
      <c r="B9" s="4" t="s">
        <v>21</v>
      </c>
      <c r="C9" s="5"/>
      <c r="F9" s="6"/>
    </row>
    <row r="10" spans="2:11" x14ac:dyDescent="0.3">
      <c r="B10" s="4" t="s">
        <v>49</v>
      </c>
      <c r="C10" s="7"/>
      <c r="D10" t="s">
        <v>13</v>
      </c>
      <c r="F10" s="6"/>
    </row>
    <row r="11" spans="2:11" x14ac:dyDescent="0.3">
      <c r="B11" s="4" t="s">
        <v>48</v>
      </c>
      <c r="C11" s="7">
        <v>209.61470363804023</v>
      </c>
      <c r="D11" t="s">
        <v>13</v>
      </c>
      <c r="F11" s="6"/>
      <c r="H11" s="15" t="s">
        <v>50</v>
      </c>
      <c r="I11" s="28" t="e">
        <f>C11-C38</f>
        <v>#DIV/0!</v>
      </c>
      <c r="J11" s="16" t="s">
        <v>13</v>
      </c>
    </row>
    <row r="12" spans="2:11" x14ac:dyDescent="0.3">
      <c r="B12" s="4" t="s">
        <v>22</v>
      </c>
      <c r="C12" s="39"/>
      <c r="F12" s="6"/>
    </row>
    <row r="13" spans="2:11" x14ac:dyDescent="0.3">
      <c r="B13" s="10" t="s">
        <v>51</v>
      </c>
      <c r="C13" s="11"/>
      <c r="D13" s="8"/>
      <c r="E13" s="8"/>
      <c r="F13" s="9"/>
    </row>
    <row r="15" spans="2:11" x14ac:dyDescent="0.3">
      <c r="B15" s="12" t="s">
        <v>5</v>
      </c>
      <c r="C15" s="13"/>
      <c r="D15" s="13"/>
      <c r="E15" s="13"/>
      <c r="F15" s="14"/>
      <c r="H15" s="12" t="s">
        <v>27</v>
      </c>
      <c r="I15" s="13"/>
      <c r="J15" s="13"/>
      <c r="K15" s="14"/>
    </row>
    <row r="16" spans="2:11" x14ac:dyDescent="0.3">
      <c r="B16" s="29" t="s">
        <v>0</v>
      </c>
      <c r="C16" s="36">
        <f>E16*2*3.1416/60</f>
        <v>2007.69184</v>
      </c>
      <c r="D16" s="36" t="s">
        <v>2</v>
      </c>
      <c r="E16" s="53">
        <v>19172</v>
      </c>
      <c r="F16" s="54" t="s">
        <v>1</v>
      </c>
      <c r="G16" s="22"/>
      <c r="H16" s="44">
        <f>J16*2*3.1416/60</f>
        <v>2525.1133600000003</v>
      </c>
      <c r="I16" s="36" t="s">
        <v>2</v>
      </c>
      <c r="J16" s="53">
        <v>24113</v>
      </c>
      <c r="K16" s="3" t="s">
        <v>1</v>
      </c>
    </row>
    <row r="17" spans="2:11" x14ac:dyDescent="0.3">
      <c r="B17" s="4" t="s">
        <v>8</v>
      </c>
      <c r="C17" s="45">
        <f>E17*100000</f>
        <v>650000</v>
      </c>
      <c r="D17" s="45" t="s">
        <v>7</v>
      </c>
      <c r="E17" s="46">
        <v>6.5</v>
      </c>
      <c r="F17" s="6" t="s">
        <v>4</v>
      </c>
      <c r="H17" s="4">
        <f>J17*100000</f>
        <v>450000</v>
      </c>
      <c r="I17" s="45" t="s">
        <v>7</v>
      </c>
      <c r="J17" s="46">
        <v>4.5</v>
      </c>
      <c r="K17" s="6" t="s">
        <v>4</v>
      </c>
    </row>
    <row r="18" spans="2:11" x14ac:dyDescent="0.3">
      <c r="B18" s="4" t="s">
        <v>6</v>
      </c>
      <c r="C18" s="45">
        <f>E18*100000</f>
        <v>32000000</v>
      </c>
      <c r="D18" s="45" t="s">
        <v>7</v>
      </c>
      <c r="E18" s="46">
        <v>320</v>
      </c>
      <c r="F18" s="6" t="s">
        <v>4</v>
      </c>
      <c r="H18" s="4">
        <f>J18*100000</f>
        <v>25200000</v>
      </c>
      <c r="I18" s="45" t="s">
        <v>7</v>
      </c>
      <c r="J18" s="46">
        <v>252</v>
      </c>
      <c r="K18" s="6" t="s">
        <v>4</v>
      </c>
    </row>
    <row r="19" spans="2:11" x14ac:dyDescent="0.3">
      <c r="B19" s="4" t="s">
        <v>9</v>
      </c>
      <c r="C19" s="46">
        <v>1141</v>
      </c>
      <c r="D19" s="45" t="s">
        <v>10</v>
      </c>
      <c r="E19" s="45"/>
      <c r="F19" s="6"/>
      <c r="H19" s="17">
        <v>500</v>
      </c>
      <c r="I19" s="45" t="s">
        <v>10</v>
      </c>
      <c r="J19" s="45"/>
      <c r="K19" s="6"/>
    </row>
    <row r="20" spans="2:11" x14ac:dyDescent="0.3">
      <c r="B20" s="4" t="s">
        <v>3</v>
      </c>
      <c r="C20" s="47">
        <f>(C18-C17)/(C19*9.81)</f>
        <v>2800.8051309677917</v>
      </c>
      <c r="D20" s="45" t="s">
        <v>11</v>
      </c>
      <c r="E20" s="45"/>
      <c r="F20" s="6"/>
      <c r="H20" s="24">
        <f>(H18-H17)/(H19*9.81)</f>
        <v>5045.8715596330276</v>
      </c>
      <c r="I20" s="45" t="s">
        <v>11</v>
      </c>
      <c r="J20" s="45"/>
      <c r="K20" s="6"/>
    </row>
    <row r="21" spans="2:11" x14ac:dyDescent="0.3">
      <c r="B21" s="4" t="s">
        <v>12</v>
      </c>
      <c r="C21" s="48">
        <f>E21*0.453592</f>
        <v>306.44675519999998</v>
      </c>
      <c r="D21" s="45" t="s">
        <v>13</v>
      </c>
      <c r="E21" s="46">
        <v>675.6</v>
      </c>
      <c r="F21" s="6" t="s">
        <v>52</v>
      </c>
      <c r="H21" s="18">
        <f>J21*0.453592</f>
        <v>112.65864504</v>
      </c>
      <c r="I21" s="45" t="s">
        <v>13</v>
      </c>
      <c r="J21" s="46">
        <v>248.37</v>
      </c>
      <c r="K21" s="6" t="s">
        <v>52</v>
      </c>
    </row>
    <row r="22" spans="2:11" x14ac:dyDescent="0.3">
      <c r="B22" s="4" t="s">
        <v>23</v>
      </c>
      <c r="C22" s="49">
        <f>C21/C19</f>
        <v>0.26857734899211216</v>
      </c>
      <c r="D22" s="45" t="s">
        <v>24</v>
      </c>
      <c r="E22" s="45"/>
      <c r="F22" s="6"/>
      <c r="H22" s="20">
        <f>H21/H19</f>
        <v>0.22531729007999998</v>
      </c>
      <c r="I22" s="45" t="s">
        <v>24</v>
      </c>
      <c r="J22" s="45"/>
      <c r="K22" s="6"/>
    </row>
    <row r="23" spans="2:11" x14ac:dyDescent="0.3">
      <c r="B23" s="4" t="s">
        <v>25</v>
      </c>
      <c r="C23" s="50">
        <f>C16*C22^0.5/(9.81*C20)^0.75</f>
        <v>0.48754849447023685</v>
      </c>
      <c r="D23" s="45"/>
      <c r="E23" s="47">
        <f>C23*2730</f>
        <v>1331.0073899037466</v>
      </c>
      <c r="F23" s="6" t="s">
        <v>26</v>
      </c>
      <c r="H23" s="19">
        <f>H16*H22^0.5/(9.81*H20)^0.75</f>
        <v>0.36118045446790403</v>
      </c>
      <c r="I23" s="45"/>
      <c r="J23" s="47">
        <f>H23*2730</f>
        <v>986.02264069737805</v>
      </c>
      <c r="K23" s="6" t="s">
        <v>26</v>
      </c>
    </row>
    <row r="24" spans="2:11" x14ac:dyDescent="0.3">
      <c r="B24" s="4" t="s">
        <v>28</v>
      </c>
      <c r="C24" s="51">
        <f>0.605*EXP(-0.408*C23)</f>
        <v>0.49586745951058636</v>
      </c>
      <c r="D24" s="45"/>
      <c r="E24" s="48"/>
      <c r="F24" s="6"/>
      <c r="H24" s="34">
        <f>0.605*EXP(-0.408*H23)</f>
        <v>0.52210401610859192</v>
      </c>
      <c r="I24" s="45"/>
      <c r="J24" s="45"/>
      <c r="K24" s="6"/>
    </row>
    <row r="25" spans="2:11" x14ac:dyDescent="0.3">
      <c r="B25" s="4"/>
      <c r="C25" s="45"/>
      <c r="D25" s="45"/>
      <c r="E25" s="45"/>
      <c r="F25" s="6"/>
      <c r="H25" s="4"/>
      <c r="I25" s="45"/>
      <c r="J25" s="45"/>
      <c r="K25" s="6"/>
    </row>
    <row r="26" spans="2:11" x14ac:dyDescent="0.3">
      <c r="B26" s="4" t="s">
        <v>29</v>
      </c>
      <c r="C26" s="49">
        <f>2/C16*SQRT(9.81*C20/C24)</f>
        <v>0.23449095074805229</v>
      </c>
      <c r="D26" s="49" t="s">
        <v>11</v>
      </c>
      <c r="E26" s="48">
        <f>C26/25.4*1000</f>
        <v>9.2319271948052091</v>
      </c>
      <c r="F26" s="31" t="s">
        <v>30</v>
      </c>
      <c r="G26" s="1"/>
      <c r="H26" s="18">
        <f>2/H16*SQRT(9.81*H20/H24)</f>
        <v>0.24387832216423144</v>
      </c>
      <c r="I26" s="48" t="s">
        <v>11</v>
      </c>
      <c r="J26" s="48">
        <f>H26/25.4*1000</f>
        <v>9.6015087466232849</v>
      </c>
      <c r="K26" s="31" t="s">
        <v>30</v>
      </c>
    </row>
    <row r="27" spans="2:11" x14ac:dyDescent="0.3">
      <c r="B27" s="4"/>
      <c r="C27" s="45"/>
      <c r="D27" s="45"/>
      <c r="E27" s="45"/>
      <c r="F27" s="6"/>
      <c r="H27" s="4"/>
      <c r="I27" s="45"/>
      <c r="J27" s="45"/>
      <c r="K27" s="6"/>
    </row>
    <row r="28" spans="2:11" x14ac:dyDescent="0.3">
      <c r="B28" s="4" t="s">
        <v>31</v>
      </c>
      <c r="C28" s="46">
        <v>0.7</v>
      </c>
      <c r="D28" s="45"/>
      <c r="E28" s="45"/>
      <c r="F28" s="6"/>
      <c r="H28" s="17">
        <v>0.45</v>
      </c>
      <c r="I28" s="45"/>
      <c r="J28" s="45"/>
      <c r="K28" s="6"/>
    </row>
    <row r="29" spans="2:11" x14ac:dyDescent="0.3">
      <c r="B29" s="10" t="s">
        <v>36</v>
      </c>
      <c r="C29" s="37">
        <f>C19*9.81*C20*C22/C28</f>
        <v>12028428.415575311</v>
      </c>
      <c r="D29" s="32" t="s">
        <v>37</v>
      </c>
      <c r="E29" s="37">
        <f>C29/745.7</f>
        <v>16130.385430569009</v>
      </c>
      <c r="F29" s="9" t="s">
        <v>53</v>
      </c>
      <c r="G29" s="21"/>
      <c r="H29" s="38">
        <f>H19*9.81*H20*H22/H28</f>
        <v>12392450.954399999</v>
      </c>
      <c r="I29" s="32" t="s">
        <v>37</v>
      </c>
      <c r="J29" s="37">
        <f>H29/745.7</f>
        <v>16618.547612176477</v>
      </c>
      <c r="K29" s="9" t="s">
        <v>53</v>
      </c>
    </row>
    <row r="31" spans="2:11" x14ac:dyDescent="0.3">
      <c r="B31" s="25" t="s">
        <v>32</v>
      </c>
      <c r="C31" s="26"/>
      <c r="D31" s="26"/>
      <c r="E31" s="26"/>
      <c r="F31" s="27"/>
      <c r="H31" s="43"/>
      <c r="I31" s="26"/>
      <c r="J31" s="26"/>
      <c r="K31" s="27"/>
    </row>
    <row r="32" spans="2:11" x14ac:dyDescent="0.3">
      <c r="B32" s="29" t="s">
        <v>34</v>
      </c>
      <c r="C32" s="36">
        <f>C29+H29</f>
        <v>24420879.36997531</v>
      </c>
      <c r="D32" s="2" t="s">
        <v>37</v>
      </c>
      <c r="E32" s="36">
        <f>C32/745.7</f>
        <v>32748.933042745484</v>
      </c>
      <c r="F32" s="3" t="s">
        <v>53</v>
      </c>
      <c r="H32" s="44">
        <f>H29+M29</f>
        <v>12392450.954399999</v>
      </c>
      <c r="I32" s="2" t="s">
        <v>37</v>
      </c>
      <c r="J32" s="36">
        <f>H32/745.7</f>
        <v>16618.547612176477</v>
      </c>
      <c r="K32" s="3" t="s">
        <v>53</v>
      </c>
    </row>
    <row r="33" spans="2:11" x14ac:dyDescent="0.3">
      <c r="B33" s="4" t="s">
        <v>33</v>
      </c>
      <c r="C33" s="5">
        <v>0.7</v>
      </c>
      <c r="F33" s="6"/>
      <c r="H33" s="17">
        <v>0.7</v>
      </c>
      <c r="K33" s="6"/>
    </row>
    <row r="34" spans="2:11" x14ac:dyDescent="0.3">
      <c r="B34" s="4" t="s">
        <v>35</v>
      </c>
      <c r="C34" s="22">
        <f>C32/C33</f>
        <v>34886970.528536156</v>
      </c>
      <c r="D34" t="s">
        <v>37</v>
      </c>
      <c r="F34" s="6"/>
      <c r="H34" s="24">
        <f>H32/H33</f>
        <v>17703501.36342857</v>
      </c>
      <c r="I34" t="s">
        <v>37</v>
      </c>
      <c r="K34" s="6"/>
    </row>
    <row r="35" spans="2:11" x14ac:dyDescent="0.3">
      <c r="B35" s="4" t="s">
        <v>39</v>
      </c>
      <c r="C35" s="21" t="e">
        <f>C34/C3</f>
        <v>#DIV/0!</v>
      </c>
      <c r="D35" t="s">
        <v>40</v>
      </c>
      <c r="F35" s="6"/>
      <c r="H35" s="23" t="e">
        <f>H34/H3</f>
        <v>#DIV/0!</v>
      </c>
      <c r="I35" t="s">
        <v>40</v>
      </c>
      <c r="K35" s="6"/>
    </row>
    <row r="36" spans="2:11" x14ac:dyDescent="0.3">
      <c r="B36" s="4" t="s">
        <v>41</v>
      </c>
      <c r="C36" s="7">
        <f>E36*25.4/1000</f>
        <v>0.20319999999999999</v>
      </c>
      <c r="D36" t="s">
        <v>11</v>
      </c>
      <c r="E36" s="5">
        <v>8</v>
      </c>
      <c r="F36" s="6" t="s">
        <v>30</v>
      </c>
      <c r="H36" s="19">
        <f>J36*25.4/1000</f>
        <v>0.20319999999999999</v>
      </c>
      <c r="I36" t="s">
        <v>11</v>
      </c>
      <c r="J36" s="5">
        <v>8</v>
      </c>
      <c r="K36" s="6" t="s">
        <v>30</v>
      </c>
    </row>
    <row r="37" spans="2:11" x14ac:dyDescent="0.3">
      <c r="B37" s="4" t="s">
        <v>42</v>
      </c>
      <c r="C37" s="21">
        <f>C36*C3</f>
        <v>0</v>
      </c>
      <c r="D37" t="s">
        <v>20</v>
      </c>
      <c r="F37" s="6"/>
      <c r="H37" s="23">
        <f>H36*H3</f>
        <v>0</v>
      </c>
      <c r="I37" t="s">
        <v>20</v>
      </c>
      <c r="K37" s="6"/>
    </row>
    <row r="38" spans="2:11" x14ac:dyDescent="0.3">
      <c r="B38" s="4" t="s">
        <v>46</v>
      </c>
      <c r="C38" s="7" t="e">
        <f>C35/C36/C37</f>
        <v>#DIV/0!</v>
      </c>
      <c r="D38" t="s">
        <v>13</v>
      </c>
      <c r="F38" s="6"/>
      <c r="H38" s="19" t="e">
        <f>H35/H36/H37</f>
        <v>#DIV/0!</v>
      </c>
      <c r="I38" t="s">
        <v>13</v>
      </c>
      <c r="K38" s="6"/>
    </row>
    <row r="39" spans="2:11" x14ac:dyDescent="0.3">
      <c r="B39" s="4"/>
      <c r="F39" s="6"/>
      <c r="H39" s="4"/>
      <c r="K39" s="6"/>
    </row>
    <row r="40" spans="2:11" x14ac:dyDescent="0.3">
      <c r="B40" s="4" t="s">
        <v>44</v>
      </c>
      <c r="C40" s="5">
        <v>0.41</v>
      </c>
      <c r="F40" s="6"/>
      <c r="H40" s="17">
        <v>0.41</v>
      </c>
      <c r="K40" s="6"/>
    </row>
    <row r="41" spans="2:11" x14ac:dyDescent="0.3">
      <c r="B41" s="10" t="s">
        <v>45</v>
      </c>
      <c r="C41" s="32">
        <f>C37/C40</f>
        <v>0</v>
      </c>
      <c r="D41" s="8" t="s">
        <v>20</v>
      </c>
      <c r="E41" s="8"/>
      <c r="F41" s="9"/>
      <c r="H41" s="35">
        <f>H37/H40</f>
        <v>0</v>
      </c>
      <c r="I41" s="8" t="s">
        <v>20</v>
      </c>
      <c r="J41" s="8"/>
      <c r="K41" s="9"/>
    </row>
    <row r="43" spans="2:11" x14ac:dyDescent="0.3">
      <c r="B43" s="25" t="s">
        <v>43</v>
      </c>
      <c r="C43" s="26"/>
      <c r="D43" s="26"/>
      <c r="E43" s="27"/>
    </row>
    <row r="44" spans="2:11" x14ac:dyDescent="0.3">
      <c r="B44" t="s">
        <v>47</v>
      </c>
      <c r="C44" t="e">
        <f>C38/(C38+C10)</f>
        <v>#DIV/0!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ss_Flow_Goal_Seek">
                <anchor moveWithCells="1" sizeWithCells="1">
                  <from>
                    <xdr:col>7</xdr:col>
                    <xdr:colOff>0</xdr:colOff>
                    <xdr:row>7</xdr:row>
                    <xdr:rowOff>129540</xdr:rowOff>
                  </from>
                  <to>
                    <xdr:col>9</xdr:col>
                    <xdr:colOff>800100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41"/>
  <sheetViews>
    <sheetView showGridLines="0" workbookViewId="0">
      <selection activeCell="B2" sqref="B2:F3"/>
    </sheetView>
  </sheetViews>
  <sheetFormatPr defaultColWidth="16.5546875" defaultRowHeight="14.4" x14ac:dyDescent="0.3"/>
  <cols>
    <col min="1" max="1" width="9.33203125" customWidth="1"/>
    <col min="2" max="2" width="20.5546875" customWidth="1"/>
    <col min="3" max="3" width="11.6640625" customWidth="1"/>
    <col min="4" max="4" width="10.44140625" customWidth="1"/>
    <col min="5" max="5" width="10.77734375" customWidth="1"/>
    <col min="6" max="6" width="6.33203125" customWidth="1"/>
    <col min="7" max="7" width="2.21875" customWidth="1"/>
    <col min="9" max="9" width="6.88671875" customWidth="1"/>
    <col min="10" max="10" width="11.6640625" customWidth="1"/>
    <col min="11" max="11" width="5.88671875" customWidth="1"/>
  </cols>
  <sheetData>
    <row r="2" spans="2:11" x14ac:dyDescent="0.3">
      <c r="B2" s="25" t="s">
        <v>58</v>
      </c>
      <c r="C2" s="26"/>
      <c r="D2" s="26"/>
      <c r="E2" s="26"/>
      <c r="F2" s="27"/>
    </row>
    <row r="3" spans="2:11" x14ac:dyDescent="0.3">
      <c r="B3" s="15"/>
      <c r="C3" s="40"/>
      <c r="D3" s="40"/>
      <c r="E3" s="41"/>
      <c r="F3" s="42"/>
    </row>
    <row r="5" spans="2:11" x14ac:dyDescent="0.3">
      <c r="B5" s="12" t="s">
        <v>14</v>
      </c>
      <c r="C5" s="13"/>
      <c r="D5" s="13"/>
      <c r="E5" s="13"/>
      <c r="F5" s="14"/>
    </row>
    <row r="6" spans="2:11" x14ac:dyDescent="0.3">
      <c r="B6" s="29" t="s">
        <v>15</v>
      </c>
      <c r="C6" s="2">
        <f>E6*4.4482</f>
        <v>983052.2</v>
      </c>
      <c r="D6" s="2" t="s">
        <v>17</v>
      </c>
      <c r="E6" s="30">
        <v>221000</v>
      </c>
      <c r="F6" s="3" t="s">
        <v>16</v>
      </c>
    </row>
    <row r="7" spans="2:11" x14ac:dyDescent="0.3">
      <c r="B7" s="4" t="s">
        <v>18</v>
      </c>
      <c r="C7">
        <f>E7*100000</f>
        <v>9700000</v>
      </c>
      <c r="D7" t="s">
        <v>7</v>
      </c>
      <c r="E7" s="5">
        <v>97</v>
      </c>
      <c r="F7" s="6" t="s">
        <v>4</v>
      </c>
    </row>
    <row r="8" spans="2:11" x14ac:dyDescent="0.3">
      <c r="B8" s="4" t="s">
        <v>19</v>
      </c>
      <c r="C8" s="5">
        <v>1700</v>
      </c>
      <c r="D8" t="s">
        <v>20</v>
      </c>
      <c r="F8" s="6"/>
    </row>
    <row r="9" spans="2:11" x14ac:dyDescent="0.3">
      <c r="B9" s="4" t="s">
        <v>21</v>
      </c>
      <c r="C9" s="5">
        <v>1.7</v>
      </c>
      <c r="F9" s="6"/>
    </row>
    <row r="10" spans="2:11" x14ac:dyDescent="0.3">
      <c r="B10" s="4" t="s">
        <v>49</v>
      </c>
      <c r="C10" s="7">
        <f>C6/C9/C8</f>
        <v>340.15647058823532</v>
      </c>
      <c r="D10" t="s">
        <v>13</v>
      </c>
      <c r="F10" s="6"/>
    </row>
    <row r="11" spans="2:11" x14ac:dyDescent="0.3">
      <c r="B11" s="4" t="s">
        <v>48</v>
      </c>
      <c r="C11" s="7">
        <v>28.792709956252168</v>
      </c>
      <c r="D11" t="s">
        <v>13</v>
      </c>
      <c r="F11" s="6"/>
      <c r="H11" s="15" t="s">
        <v>50</v>
      </c>
      <c r="I11" s="28" t="e">
        <f>C11-C38</f>
        <v>#DIV/0!</v>
      </c>
      <c r="J11" s="16" t="s">
        <v>13</v>
      </c>
    </row>
    <row r="12" spans="2:11" x14ac:dyDescent="0.3">
      <c r="B12" s="4" t="s">
        <v>22</v>
      </c>
      <c r="C12" s="39">
        <v>2.5</v>
      </c>
      <c r="F12" s="6"/>
    </row>
    <row r="13" spans="2:11" x14ac:dyDescent="0.3">
      <c r="B13" s="10" t="s">
        <v>51</v>
      </c>
      <c r="C13" s="11">
        <v>1.2</v>
      </c>
      <c r="D13" s="8"/>
      <c r="E13" s="8"/>
      <c r="F13" s="9"/>
    </row>
    <row r="15" spans="2:11" x14ac:dyDescent="0.3">
      <c r="B15" s="12" t="s">
        <v>5</v>
      </c>
      <c r="C15" s="13"/>
      <c r="D15" s="13"/>
      <c r="E15" s="13"/>
      <c r="F15" s="14"/>
      <c r="H15" s="12" t="s">
        <v>27</v>
      </c>
      <c r="I15" s="13"/>
      <c r="J15" s="13"/>
      <c r="K15" s="14"/>
    </row>
    <row r="16" spans="2:11" x14ac:dyDescent="0.3">
      <c r="B16" s="29" t="s">
        <v>0</v>
      </c>
      <c r="C16" s="2">
        <f>E16*2*3.1416/60</f>
        <v>3141.6</v>
      </c>
      <c r="D16" s="2" t="s">
        <v>2</v>
      </c>
      <c r="E16" s="30">
        <v>30000</v>
      </c>
      <c r="F16" s="3" t="s">
        <v>1</v>
      </c>
      <c r="H16" s="29">
        <f>J16*2*3.1416/60</f>
        <v>3141.6</v>
      </c>
      <c r="I16" s="2" t="s">
        <v>2</v>
      </c>
      <c r="J16" s="30">
        <v>30000</v>
      </c>
      <c r="K16" s="3" t="s">
        <v>1</v>
      </c>
    </row>
    <row r="17" spans="2:11" x14ac:dyDescent="0.3">
      <c r="B17" s="4" t="s">
        <v>8</v>
      </c>
      <c r="C17" s="45">
        <f>E17*100000</f>
        <v>500000</v>
      </c>
      <c r="D17" s="45" t="s">
        <v>7</v>
      </c>
      <c r="E17" s="46">
        <v>5</v>
      </c>
      <c r="F17" s="6" t="s">
        <v>4</v>
      </c>
      <c r="H17" s="4">
        <f>J17*100000</f>
        <v>500000</v>
      </c>
      <c r="I17" s="45" t="s">
        <v>7</v>
      </c>
      <c r="J17" s="46">
        <v>5</v>
      </c>
      <c r="K17" s="6" t="s">
        <v>4</v>
      </c>
    </row>
    <row r="18" spans="2:11" x14ac:dyDescent="0.3">
      <c r="B18" s="4" t="s">
        <v>6</v>
      </c>
      <c r="C18" s="45">
        <f>E18*100000</f>
        <v>11640000</v>
      </c>
      <c r="D18" s="45" t="s">
        <v>7</v>
      </c>
      <c r="E18" s="46">
        <f>E7*C13</f>
        <v>116.39999999999999</v>
      </c>
      <c r="F18" s="6" t="s">
        <v>4</v>
      </c>
      <c r="H18" s="4">
        <f>J18*100000</f>
        <v>12140000</v>
      </c>
      <c r="I18" s="45" t="s">
        <v>7</v>
      </c>
      <c r="J18" s="46">
        <f>E7*C13+5</f>
        <v>121.39999999999999</v>
      </c>
      <c r="K18" s="6" t="s">
        <v>4</v>
      </c>
    </row>
    <row r="19" spans="2:11" x14ac:dyDescent="0.3">
      <c r="B19" s="4" t="s">
        <v>9</v>
      </c>
      <c r="C19" s="46">
        <v>1141</v>
      </c>
      <c r="D19" s="45" t="s">
        <v>10</v>
      </c>
      <c r="E19" s="45"/>
      <c r="F19" s="6"/>
      <c r="H19" s="17">
        <v>800</v>
      </c>
      <c r="I19" s="45" t="s">
        <v>10</v>
      </c>
      <c r="J19" s="45"/>
      <c r="K19" s="6"/>
    </row>
    <row r="20" spans="2:11" x14ac:dyDescent="0.3">
      <c r="B20" s="4" t="s">
        <v>3</v>
      </c>
      <c r="C20" s="47">
        <f>(C18-C17)/(C19*9.81)</f>
        <v>995.24622516686452</v>
      </c>
      <c r="D20" s="45" t="s">
        <v>11</v>
      </c>
      <c r="E20" s="45"/>
      <c r="F20" s="6"/>
      <c r="H20" s="24">
        <f>(H18-H17)/(H19*9.81)</f>
        <v>1483.1804281345567</v>
      </c>
      <c r="I20" s="45" t="s">
        <v>11</v>
      </c>
      <c r="J20" s="45"/>
      <c r="K20" s="6"/>
    </row>
    <row r="21" spans="2:11" x14ac:dyDescent="0.3">
      <c r="B21" s="4" t="s">
        <v>12</v>
      </c>
      <c r="C21" s="48">
        <f>(C10+C11)*C12/(C12+1)</f>
        <v>263.53512896034823</v>
      </c>
      <c r="D21" s="45" t="s">
        <v>13</v>
      </c>
      <c r="E21" s="45"/>
      <c r="F21" s="6"/>
      <c r="H21" s="18">
        <f>(C10+C11)*1/(C12+1)</f>
        <v>105.41405158413929</v>
      </c>
      <c r="I21" s="45" t="s">
        <v>13</v>
      </c>
      <c r="J21" s="45"/>
      <c r="K21" s="6"/>
    </row>
    <row r="22" spans="2:11" x14ac:dyDescent="0.3">
      <c r="B22" s="4" t="s">
        <v>23</v>
      </c>
      <c r="C22" s="49">
        <f>C21/C19</f>
        <v>0.23096856175315358</v>
      </c>
      <c r="D22" s="45" t="s">
        <v>24</v>
      </c>
      <c r="E22" s="45"/>
      <c r="F22" s="6"/>
      <c r="H22" s="20">
        <f>H21/H19</f>
        <v>0.1317675644801741</v>
      </c>
      <c r="I22" s="45" t="s">
        <v>24</v>
      </c>
      <c r="J22" s="45"/>
      <c r="K22" s="6"/>
    </row>
    <row r="23" spans="2:11" x14ac:dyDescent="0.3">
      <c r="B23" s="4" t="s">
        <v>25</v>
      </c>
      <c r="C23" s="50">
        <f>C3*C22^0.5/(9.81*C20)^0.75</f>
        <v>0</v>
      </c>
      <c r="D23" s="45"/>
      <c r="E23" s="47">
        <f>C23*2730</f>
        <v>0</v>
      </c>
      <c r="F23" s="6" t="s">
        <v>26</v>
      </c>
      <c r="H23" s="19">
        <f>C3*H22^0.5/(9.81*H20)^0.75</f>
        <v>0</v>
      </c>
      <c r="I23" s="45"/>
      <c r="J23" s="47">
        <f>H23*2730</f>
        <v>0</v>
      </c>
      <c r="K23" s="6" t="s">
        <v>26</v>
      </c>
    </row>
    <row r="24" spans="2:11" x14ac:dyDescent="0.3">
      <c r="B24" s="4" t="s">
        <v>28</v>
      </c>
      <c r="C24" s="51">
        <f>0.605*EXP(-0.408*C23)</f>
        <v>0.60499999999999998</v>
      </c>
      <c r="D24" s="45"/>
      <c r="E24" s="48"/>
      <c r="F24" s="6"/>
      <c r="H24" s="34">
        <f>0.605*EXP(-0.408*H23)</f>
        <v>0.60499999999999998</v>
      </c>
      <c r="I24" s="45"/>
      <c r="J24" s="45"/>
      <c r="K24" s="6"/>
    </row>
    <row r="25" spans="2:11" x14ac:dyDescent="0.3">
      <c r="B25" s="4"/>
      <c r="C25" s="45"/>
      <c r="D25" s="45"/>
      <c r="E25" s="45"/>
      <c r="F25" s="6"/>
      <c r="H25" s="4"/>
      <c r="I25" s="45"/>
      <c r="J25" s="45"/>
      <c r="K25" s="6"/>
    </row>
    <row r="26" spans="2:11" x14ac:dyDescent="0.3">
      <c r="B26" s="4" t="s">
        <v>29</v>
      </c>
      <c r="C26" s="49" t="e">
        <f>2/C3*SQRT(9.81*C20/C24)</f>
        <v>#DIV/0!</v>
      </c>
      <c r="D26" s="49" t="s">
        <v>11</v>
      </c>
      <c r="E26" s="48" t="e">
        <f>C26/25.4*1000</f>
        <v>#DIV/0!</v>
      </c>
      <c r="F26" s="31" t="s">
        <v>30</v>
      </c>
      <c r="G26" s="1"/>
      <c r="H26" s="18" t="e">
        <f>2/C3*SQRT(9.81*H20/H24)</f>
        <v>#DIV/0!</v>
      </c>
      <c r="I26" s="48" t="s">
        <v>11</v>
      </c>
      <c r="J26" s="48" t="e">
        <f>H26/25.4*1000</f>
        <v>#DIV/0!</v>
      </c>
      <c r="K26" s="31" t="s">
        <v>30</v>
      </c>
    </row>
    <row r="27" spans="2:11" x14ac:dyDescent="0.3">
      <c r="B27" s="4"/>
      <c r="C27" s="45"/>
      <c r="D27" s="45"/>
      <c r="E27" s="45"/>
      <c r="F27" s="6"/>
      <c r="H27" s="4"/>
      <c r="I27" s="45"/>
      <c r="J27" s="45"/>
      <c r="K27" s="6"/>
    </row>
    <row r="28" spans="2:11" x14ac:dyDescent="0.3">
      <c r="B28" s="4" t="s">
        <v>31</v>
      </c>
      <c r="C28" s="46">
        <v>0.5</v>
      </c>
      <c r="D28" s="45"/>
      <c r="E28" s="45"/>
      <c r="F28" s="6"/>
      <c r="H28" s="17">
        <v>0.5</v>
      </c>
      <c r="I28" s="45"/>
      <c r="J28" s="45"/>
      <c r="K28" s="6"/>
    </row>
    <row r="29" spans="2:11" x14ac:dyDescent="0.3">
      <c r="B29" s="10" t="s">
        <v>36</v>
      </c>
      <c r="C29" s="37">
        <f>C19*9.81*C20*C22/C28</f>
        <v>5145979.5558602614</v>
      </c>
      <c r="D29" s="32" t="s">
        <v>37</v>
      </c>
      <c r="E29" s="32">
        <f>C29/1000</f>
        <v>5145.9795558602618</v>
      </c>
      <c r="F29" s="33" t="s">
        <v>38</v>
      </c>
      <c r="G29" s="21"/>
      <c r="H29" s="38">
        <f>H19*9.81*H20*H22/H28</f>
        <v>3067548.901098453</v>
      </c>
      <c r="I29" s="32" t="s">
        <v>37</v>
      </c>
      <c r="J29" s="32">
        <f>H29/1000</f>
        <v>3067.5489010984529</v>
      </c>
      <c r="K29" s="33" t="s">
        <v>38</v>
      </c>
    </row>
    <row r="31" spans="2:11" x14ac:dyDescent="0.3">
      <c r="B31" s="25" t="s">
        <v>32</v>
      </c>
      <c r="C31" s="26"/>
      <c r="D31" s="26"/>
      <c r="E31" s="26"/>
      <c r="F31" s="27"/>
      <c r="H31" s="25" t="s">
        <v>43</v>
      </c>
      <c r="I31" s="26"/>
      <c r="J31" s="26"/>
      <c r="K31" s="27"/>
    </row>
    <row r="32" spans="2:11" x14ac:dyDescent="0.3">
      <c r="B32" s="29" t="s">
        <v>34</v>
      </c>
      <c r="C32" s="36">
        <f>C29+H29</f>
        <v>8213528.4569587149</v>
      </c>
      <c r="D32" s="2" t="s">
        <v>37</v>
      </c>
      <c r="E32" s="2"/>
      <c r="F32" s="3"/>
      <c r="H32" t="s">
        <v>47</v>
      </c>
      <c r="I32" t="e">
        <f>C38/(C38+C10)</f>
        <v>#DIV/0!</v>
      </c>
    </row>
    <row r="33" spans="2:6" x14ac:dyDescent="0.3">
      <c r="B33" s="4" t="s">
        <v>33</v>
      </c>
      <c r="C33" s="5">
        <v>0.7</v>
      </c>
      <c r="F33" s="6"/>
    </row>
    <row r="34" spans="2:6" x14ac:dyDescent="0.3">
      <c r="B34" s="4" t="s">
        <v>35</v>
      </c>
      <c r="C34" s="22">
        <f>C32/C33</f>
        <v>11733612.081369594</v>
      </c>
      <c r="D34" t="s">
        <v>37</v>
      </c>
      <c r="F34" s="6"/>
    </row>
    <row r="35" spans="2:6" x14ac:dyDescent="0.3">
      <c r="B35" s="4" t="s">
        <v>39</v>
      </c>
      <c r="C35" s="21" t="e">
        <f>C34/C3</f>
        <v>#DIV/0!</v>
      </c>
      <c r="D35" t="s">
        <v>40</v>
      </c>
      <c r="F35" s="6"/>
    </row>
    <row r="36" spans="2:6" x14ac:dyDescent="0.3">
      <c r="B36" s="4" t="s">
        <v>41</v>
      </c>
      <c r="C36" s="7">
        <f>E36*25.4/1000</f>
        <v>0.20319999999999999</v>
      </c>
      <c r="D36" t="s">
        <v>11</v>
      </c>
      <c r="E36" s="5">
        <v>8</v>
      </c>
      <c r="F36" s="6" t="s">
        <v>30</v>
      </c>
    </row>
    <row r="37" spans="2:6" x14ac:dyDescent="0.3">
      <c r="B37" s="4" t="s">
        <v>42</v>
      </c>
      <c r="C37" s="21">
        <f>C36*C3</f>
        <v>0</v>
      </c>
      <c r="D37" t="s">
        <v>20</v>
      </c>
      <c r="F37" s="6"/>
    </row>
    <row r="38" spans="2:6" x14ac:dyDescent="0.3">
      <c r="B38" s="4" t="s">
        <v>46</v>
      </c>
      <c r="C38" s="7" t="e">
        <f>C35/C36/C37</f>
        <v>#DIV/0!</v>
      </c>
      <c r="D38" t="s">
        <v>13</v>
      </c>
      <c r="F38" s="6"/>
    </row>
    <row r="39" spans="2:6" x14ac:dyDescent="0.3">
      <c r="B39" s="4"/>
      <c r="F39" s="6"/>
    </row>
    <row r="40" spans="2:6" x14ac:dyDescent="0.3">
      <c r="B40" s="4" t="s">
        <v>44</v>
      </c>
      <c r="C40" s="5">
        <v>0.41</v>
      </c>
      <c r="F40" s="6"/>
    </row>
    <row r="41" spans="2:6" x14ac:dyDescent="0.3">
      <c r="B41" s="10" t="s">
        <v>45</v>
      </c>
      <c r="C41" s="32">
        <f>C37/C40</f>
        <v>0</v>
      </c>
      <c r="D41" s="8" t="s">
        <v>20</v>
      </c>
      <c r="E41" s="8"/>
      <c r="F4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ss_Flow_Goal_Seek">
                <anchor moveWithCells="1" sizeWithCells="1">
                  <from>
                    <xdr:col>7</xdr:col>
                    <xdr:colOff>0</xdr:colOff>
                    <xdr:row>7</xdr:row>
                    <xdr:rowOff>129540</xdr:rowOff>
                  </from>
                  <to>
                    <xdr:col>9</xdr:col>
                    <xdr:colOff>800100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9F76-0CE5-4CF3-B3EF-477A0F13CA4E}">
  <sheetPr codeName="Sheet2"/>
  <dimension ref="A1"/>
  <sheetViews>
    <sheetView workbookViewId="0">
      <selection activeCell="E2" sqref="E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 2</vt:lpstr>
      <vt:lpstr>Aeon R</vt:lpstr>
      <vt:lpstr>Merlin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Morgan</dc:creator>
  <cp:lastModifiedBy>Brendan Morgan</cp:lastModifiedBy>
  <dcterms:created xsi:type="dcterms:W3CDTF">2015-06-05T18:17:20Z</dcterms:created>
  <dcterms:modified xsi:type="dcterms:W3CDTF">2025-11-17T07:02:06Z</dcterms:modified>
</cp:coreProperties>
</file>