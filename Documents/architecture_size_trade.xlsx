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nd\Desktop\Turbopump_Mark2\Documents\"/>
    </mc:Choice>
  </mc:AlternateContent>
  <xr:revisionPtr revIDLastSave="0" documentId="13_ncr:1_{7A2417EC-D69B-4498-BB04-4E7F1EC9A0BC}" xr6:coauthVersionLast="47" xr6:coauthVersionMax="47" xr10:uidLastSave="{00000000-0000-0000-0000-000000000000}"/>
  <bookViews>
    <workbookView xWindow="-108" yWindow="-108" windowWidth="23256" windowHeight="13896" xr2:uid="{134A1842-A9FF-43CA-A242-16B7A3E589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7" i="1" l="1"/>
  <c r="E25" i="1"/>
  <c r="C25" i="1" s="1"/>
  <c r="C28" i="1" s="1"/>
  <c r="C30" i="1"/>
  <c r="C11" i="1"/>
  <c r="E19" i="1"/>
  <c r="C19" i="1" s="1"/>
  <c r="C20" i="1" s="1"/>
  <c r="C24" i="1"/>
  <c r="C5" i="1"/>
  <c r="C3" i="1"/>
  <c r="C4" i="1" s="1"/>
  <c r="C32" i="1" l="1"/>
  <c r="C7" i="1"/>
  <c r="E7" i="1" s="1"/>
  <c r="C9" i="1" l="1"/>
  <c r="C16" i="1" s="1"/>
  <c r="C18" i="1" s="1"/>
  <c r="C21" i="1" s="1"/>
  <c r="E21" i="1" s="1"/>
  <c r="C12" i="1"/>
  <c r="C34" i="1" l="1"/>
  <c r="C35" i="1" s="1"/>
  <c r="E18" i="1"/>
  <c r="E34" i="1" l="1"/>
</calcChain>
</file>

<file path=xl/sharedStrings.xml><?xml version="1.0" encoding="utf-8"?>
<sst xmlns="http://schemas.openxmlformats.org/spreadsheetml/2006/main" count="61" uniqueCount="36">
  <si>
    <t>inch</t>
  </si>
  <si>
    <t>m</t>
  </si>
  <si>
    <t>area</t>
  </si>
  <si>
    <t>m2</t>
  </si>
  <si>
    <t>height</t>
  </si>
  <si>
    <t>feet</t>
  </si>
  <si>
    <t>WAG volume</t>
  </si>
  <si>
    <t>m3</t>
  </si>
  <si>
    <t>L</t>
  </si>
  <si>
    <t>dewar capacity</t>
  </si>
  <si>
    <t>MR</t>
  </si>
  <si>
    <t>Ox Tank</t>
  </si>
  <si>
    <t>volume</t>
  </si>
  <si>
    <t>Fuel Tank</t>
  </si>
  <si>
    <t>kg/m3</t>
  </si>
  <si>
    <t xml:space="preserve">kg </t>
  </si>
  <si>
    <t>prop mass</t>
  </si>
  <si>
    <t>ox density</t>
  </si>
  <si>
    <t>kg</t>
  </si>
  <si>
    <t>fuel density</t>
  </si>
  <si>
    <t>dewar margin</t>
  </si>
  <si>
    <t>aft end length</t>
  </si>
  <si>
    <t>nosecone fineness</t>
  </si>
  <si>
    <t>nosecone length</t>
  </si>
  <si>
    <t>tank diameter</t>
  </si>
  <si>
    <t>rocket length</t>
  </si>
  <si>
    <t>rocket fineness</t>
  </si>
  <si>
    <t>Intertank</t>
  </si>
  <si>
    <t>max pitchline diameter</t>
  </si>
  <si>
    <t>turbine efficiency</t>
  </si>
  <si>
    <t>shaft speed</t>
  </si>
  <si>
    <t>RPM</t>
  </si>
  <si>
    <t>rad/s</t>
  </si>
  <si>
    <t>turbine power density</t>
  </si>
  <si>
    <t>J/kg</t>
  </si>
  <si>
    <t>DOT-4L cylinders come in 160, 180, 230L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</si>
</sst>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0000"/>
    <numFmt numFmtId="167" formatCode="0.0000"/>
    <numFmt numFmtId="169" formatCode="0.0"/>
  </numFmts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4" xfId="0" applyFill="1" applyBorder="1"/>
    <xf numFmtId="0" fontId="0" fillId="0" borderId="0" xfId="0" applyFill="1" applyBorder="1"/>
    <xf numFmtId="166" fontId="0" fillId="0" borderId="0" xfId="0" applyNumberFormat="1" applyBorder="1"/>
    <xf numFmtId="169" fontId="0" fillId="0" borderId="0" xfId="0" applyNumberFormat="1" applyBorder="1"/>
    <xf numFmtId="0" fontId="0" fillId="0" borderId="6" xfId="0" applyFill="1" applyBorder="1"/>
    <xf numFmtId="0" fontId="0" fillId="0" borderId="7" xfId="0" applyFill="1" applyBorder="1"/>
    <xf numFmtId="0" fontId="0" fillId="0" borderId="0" xfId="0" applyFill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2" fontId="0" fillId="0" borderId="0" xfId="0" applyNumberFormat="1" applyFill="1" applyBorder="1"/>
    <xf numFmtId="0" fontId="0" fillId="0" borderId="1" xfId="0" applyFill="1" applyBorder="1"/>
    <xf numFmtId="2" fontId="0" fillId="0" borderId="2" xfId="0" applyNumberFormat="1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5" xfId="0" applyFill="1" applyBorder="1"/>
    <xf numFmtId="2" fontId="0" fillId="0" borderId="7" xfId="0" applyNumberFormat="1" applyBorder="1"/>
    <xf numFmtId="167" fontId="0" fillId="0" borderId="0" xfId="0" applyNumberFormat="1"/>
    <xf numFmtId="2" fontId="0" fillId="0" borderId="0" xfId="0" applyNumberFormat="1"/>
    <xf numFmtId="1" fontId="0" fillId="0" borderId="7" xfId="0" applyNumberFormat="1" applyBorder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900546</xdr:colOff>
      <xdr:row>22</xdr:row>
      <xdr:rowOff>103909</xdr:rowOff>
    </xdr:from>
    <xdr:to>
      <xdr:col>10</xdr:col>
      <xdr:colOff>254638</xdr:colOff>
      <xdr:row>24</xdr:row>
      <xdr:rowOff>178069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8C7A2D-103B-92C6-2CC6-847E7D1A0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79673" y="4066309"/>
          <a:ext cx="4701947" cy="4343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0919E-D762-45AE-A1E1-4023FB62F113}">
  <dimension ref="B2:G35"/>
  <sheetViews>
    <sheetView showGridLines="0" tabSelected="1" topLeftCell="A9" zoomScale="110" zoomScaleNormal="110" workbookViewId="0">
      <selection activeCell="E6" sqref="E6"/>
    </sheetView>
  </sheetViews>
  <sheetFormatPr defaultColWidth="19.44140625" defaultRowHeight="14.4" x14ac:dyDescent="0.3"/>
  <cols>
    <col min="1" max="1" width="9.6640625" customWidth="1"/>
    <col min="4" max="4" width="11.6640625" customWidth="1"/>
    <col min="6" max="6" width="10.21875" customWidth="1"/>
  </cols>
  <sheetData>
    <row r="2" spans="2:7" x14ac:dyDescent="0.3">
      <c r="B2" s="10" t="s">
        <v>11</v>
      </c>
      <c r="C2" s="11"/>
      <c r="D2" s="11"/>
      <c r="E2" s="11"/>
      <c r="F2" s="12"/>
    </row>
    <row r="3" spans="2:7" x14ac:dyDescent="0.3">
      <c r="B3" s="1" t="s">
        <v>24</v>
      </c>
      <c r="C3" s="2">
        <f>E3*0.0254</f>
        <v>0.30479999999999996</v>
      </c>
      <c r="D3" s="2" t="s">
        <v>1</v>
      </c>
      <c r="E3" s="2">
        <v>12</v>
      </c>
      <c r="F3" s="3" t="s">
        <v>0</v>
      </c>
    </row>
    <row r="4" spans="2:7" x14ac:dyDescent="0.3">
      <c r="B4" s="4" t="s">
        <v>2</v>
      </c>
      <c r="C4" s="5">
        <f>3.1416/4*C3^2</f>
        <v>7.2966047615999979E-2</v>
      </c>
      <c r="D4" s="5" t="s">
        <v>3</v>
      </c>
      <c r="E4" s="5"/>
      <c r="F4" s="6"/>
    </row>
    <row r="5" spans="2:7" x14ac:dyDescent="0.3">
      <c r="B5" s="4" t="s">
        <v>4</v>
      </c>
      <c r="C5" s="5">
        <f>0.0254*12*E5</f>
        <v>1.8287999999999998</v>
      </c>
      <c r="D5" s="5" t="s">
        <v>1</v>
      </c>
      <c r="E5" s="5">
        <v>6</v>
      </c>
      <c r="F5" s="6" t="s">
        <v>5</v>
      </c>
    </row>
    <row r="6" spans="2:7" x14ac:dyDescent="0.3">
      <c r="B6" s="4"/>
      <c r="C6" s="5"/>
      <c r="D6" s="5"/>
      <c r="E6" s="5"/>
      <c r="F6" s="6"/>
    </row>
    <row r="7" spans="2:7" x14ac:dyDescent="0.3">
      <c r="B7" s="4" t="s">
        <v>6</v>
      </c>
      <c r="C7" s="15">
        <f>C4*C5</f>
        <v>0.13344030788014075</v>
      </c>
      <c r="D7" s="5" t="s">
        <v>7</v>
      </c>
      <c r="E7" s="16">
        <f>C7*1000</f>
        <v>133.44030788014075</v>
      </c>
      <c r="F7" s="6" t="s">
        <v>8</v>
      </c>
    </row>
    <row r="8" spans="2:7" x14ac:dyDescent="0.3">
      <c r="B8" s="13" t="s">
        <v>17</v>
      </c>
      <c r="C8" s="5">
        <v>1100</v>
      </c>
      <c r="D8" s="14" t="s">
        <v>14</v>
      </c>
      <c r="E8" s="5"/>
      <c r="F8" s="6"/>
    </row>
    <row r="9" spans="2:7" x14ac:dyDescent="0.3">
      <c r="B9" s="17" t="s">
        <v>16</v>
      </c>
      <c r="C9" s="29">
        <f>C7*C8</f>
        <v>146.78433866815482</v>
      </c>
      <c r="D9" s="18" t="s">
        <v>15</v>
      </c>
      <c r="E9" s="8"/>
      <c r="F9" s="9"/>
    </row>
    <row r="11" spans="2:7" x14ac:dyDescent="0.3">
      <c r="B11" t="s">
        <v>9</v>
      </c>
      <c r="C11" s="15">
        <f>E11/1000</f>
        <v>0.23</v>
      </c>
      <c r="D11" s="5" t="s">
        <v>7</v>
      </c>
      <c r="E11">
        <v>230</v>
      </c>
      <c r="F11" t="s">
        <v>8</v>
      </c>
      <c r="G11" t="s">
        <v>35</v>
      </c>
    </row>
    <row r="12" spans="2:7" x14ac:dyDescent="0.3">
      <c r="B12" t="s">
        <v>20</v>
      </c>
      <c r="C12" s="30">
        <f>C11/C7-1</f>
        <v>0.72361712629284014</v>
      </c>
    </row>
    <row r="13" spans="2:7" x14ac:dyDescent="0.3">
      <c r="B13" t="s">
        <v>10</v>
      </c>
      <c r="C13">
        <v>2</v>
      </c>
    </row>
    <row r="15" spans="2:7" x14ac:dyDescent="0.3">
      <c r="B15" s="20" t="s">
        <v>13</v>
      </c>
      <c r="C15" s="21"/>
      <c r="D15" s="21"/>
      <c r="E15" s="21"/>
      <c r="F15" s="22"/>
    </row>
    <row r="16" spans="2:7" s="19" customFormat="1" x14ac:dyDescent="0.3">
      <c r="B16" s="24" t="s">
        <v>16</v>
      </c>
      <c r="C16" s="25">
        <f>C9/C13</f>
        <v>73.392169334077408</v>
      </c>
      <c r="D16" s="26" t="s">
        <v>18</v>
      </c>
      <c r="E16" s="26"/>
      <c r="F16" s="27"/>
    </row>
    <row r="17" spans="2:6" s="19" customFormat="1" x14ac:dyDescent="0.3">
      <c r="B17" s="13" t="s">
        <v>19</v>
      </c>
      <c r="C17" s="23">
        <v>800</v>
      </c>
      <c r="D17" s="14" t="s">
        <v>14</v>
      </c>
      <c r="E17" s="14"/>
      <c r="F17" s="28"/>
    </row>
    <row r="18" spans="2:6" x14ac:dyDescent="0.3">
      <c r="B18" s="4" t="s">
        <v>12</v>
      </c>
      <c r="C18" s="5">
        <f>C16/C17</f>
        <v>9.1740211667596758E-2</v>
      </c>
      <c r="D18" s="5" t="s">
        <v>7</v>
      </c>
      <c r="E18" s="5">
        <f>C18*1000</f>
        <v>91.740211667596753</v>
      </c>
      <c r="F18" s="6" t="s">
        <v>8</v>
      </c>
    </row>
    <row r="19" spans="2:6" x14ac:dyDescent="0.3">
      <c r="B19" s="4" t="s">
        <v>24</v>
      </c>
      <c r="C19" s="5">
        <f>E19*0.0254</f>
        <v>0.30479999999999996</v>
      </c>
      <c r="D19" s="5" t="s">
        <v>1</v>
      </c>
      <c r="E19" s="5">
        <f>E3</f>
        <v>12</v>
      </c>
      <c r="F19" s="6" t="s">
        <v>0</v>
      </c>
    </row>
    <row r="20" spans="2:6" x14ac:dyDescent="0.3">
      <c r="B20" s="4" t="s">
        <v>2</v>
      </c>
      <c r="C20" s="5">
        <f>3.1416/4*C19^2</f>
        <v>7.2966047615999979E-2</v>
      </c>
      <c r="D20" s="5" t="s">
        <v>3</v>
      </c>
      <c r="E20" s="5"/>
      <c r="F20" s="6"/>
    </row>
    <row r="21" spans="2:6" x14ac:dyDescent="0.3">
      <c r="B21" s="7" t="s">
        <v>4</v>
      </c>
      <c r="C21" s="8">
        <f>C18/C20</f>
        <v>1.2572999999999999</v>
      </c>
      <c r="D21" s="8" t="s">
        <v>1</v>
      </c>
      <c r="E21" s="8">
        <f>C21/0.0254/12</f>
        <v>4.125</v>
      </c>
      <c r="F21" s="9" t="s">
        <v>5</v>
      </c>
    </row>
    <row r="22" spans="2:6" x14ac:dyDescent="0.3">
      <c r="B22" s="5"/>
      <c r="C22" s="5"/>
      <c r="D22" s="5"/>
      <c r="E22" s="5"/>
      <c r="F22" s="5"/>
    </row>
    <row r="23" spans="2:6" x14ac:dyDescent="0.3">
      <c r="B23" s="33" t="s">
        <v>27</v>
      </c>
      <c r="C23" s="34"/>
      <c r="D23" s="34"/>
      <c r="E23" s="34"/>
      <c r="F23" s="35"/>
    </row>
    <row r="24" spans="2:6" x14ac:dyDescent="0.3">
      <c r="B24" s="4" t="s">
        <v>4</v>
      </c>
      <c r="C24" s="5">
        <f>E24*0.0254</f>
        <v>0.20319999999999999</v>
      </c>
      <c r="D24" s="5" t="s">
        <v>1</v>
      </c>
      <c r="E24" s="5">
        <v>8</v>
      </c>
      <c r="F24" s="6" t="s">
        <v>0</v>
      </c>
    </row>
    <row r="25" spans="2:6" x14ac:dyDescent="0.3">
      <c r="B25" s="4" t="s">
        <v>28</v>
      </c>
      <c r="C25" s="5">
        <f>E25*0.0254</f>
        <v>0.29209999999999997</v>
      </c>
      <c r="D25" s="5" t="s">
        <v>1</v>
      </c>
      <c r="E25" s="5">
        <f>E3-0.5</f>
        <v>11.5</v>
      </c>
      <c r="F25" s="6" t="s">
        <v>0</v>
      </c>
    </row>
    <row r="26" spans="2:6" x14ac:dyDescent="0.3">
      <c r="B26" s="4" t="s">
        <v>29</v>
      </c>
      <c r="C26" s="5">
        <v>0.5</v>
      </c>
      <c r="D26" s="5"/>
      <c r="E26" s="5"/>
      <c r="F26" s="6"/>
    </row>
    <row r="27" spans="2:6" x14ac:dyDescent="0.3">
      <c r="B27" s="4" t="s">
        <v>30</v>
      </c>
      <c r="C27" s="5">
        <f>E27*3.1416/30</f>
        <v>2094.4</v>
      </c>
      <c r="D27" s="5" t="s">
        <v>32</v>
      </c>
      <c r="E27" s="5">
        <v>20000</v>
      </c>
      <c r="F27" s="6" t="s">
        <v>31</v>
      </c>
    </row>
    <row r="28" spans="2:6" x14ac:dyDescent="0.3">
      <c r="B28" s="7" t="s">
        <v>33</v>
      </c>
      <c r="C28" s="32">
        <f>C26*2*C27^2*C25^2/4</f>
        <v>93566.930181894393</v>
      </c>
      <c r="D28" s="8" t="s">
        <v>34</v>
      </c>
      <c r="E28" s="8"/>
      <c r="F28" s="9"/>
    </row>
    <row r="30" spans="2:6" x14ac:dyDescent="0.3">
      <c r="B30" t="s">
        <v>21</v>
      </c>
      <c r="C30">
        <f>E30*0.0254</f>
        <v>0.4572</v>
      </c>
      <c r="D30" t="s">
        <v>1</v>
      </c>
      <c r="E30">
        <v>18</v>
      </c>
      <c r="F30" t="s">
        <v>0</v>
      </c>
    </row>
    <row r="31" spans="2:6" x14ac:dyDescent="0.3">
      <c r="B31" t="s">
        <v>22</v>
      </c>
      <c r="C31">
        <v>4</v>
      </c>
    </row>
    <row r="32" spans="2:6" x14ac:dyDescent="0.3">
      <c r="B32" t="s">
        <v>23</v>
      </c>
      <c r="C32">
        <f>C31*C19</f>
        <v>1.2191999999999998</v>
      </c>
      <c r="D32" t="s">
        <v>1</v>
      </c>
    </row>
    <row r="34" spans="2:6" x14ac:dyDescent="0.3">
      <c r="B34" t="s">
        <v>25</v>
      </c>
      <c r="C34">
        <f>C5+C21+C24+C30+C32</f>
        <v>4.9656999999999991</v>
      </c>
      <c r="D34" t="s">
        <v>1</v>
      </c>
      <c r="E34">
        <f>C34/0.0254/12</f>
        <v>16.291666666666664</v>
      </c>
      <c r="F34" t="s">
        <v>5</v>
      </c>
    </row>
    <row r="35" spans="2:6" x14ac:dyDescent="0.3">
      <c r="B35" t="s">
        <v>26</v>
      </c>
      <c r="C35" s="31">
        <f>C34/C3</f>
        <v>16.291666666666664</v>
      </c>
    </row>
  </sheetData>
  <conditionalFormatting sqref="C12">
    <cfRule type="colorScale" priority="1">
      <colorScale>
        <cfvo type="num" val="0"/>
        <cfvo type="num" val="0.1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Morgan</dc:creator>
  <cp:lastModifiedBy>Brendan Morgan</cp:lastModifiedBy>
  <dcterms:created xsi:type="dcterms:W3CDTF">2026-06-21T02:39:34Z</dcterms:created>
  <dcterms:modified xsi:type="dcterms:W3CDTF">2026-06-21T03:58:13Z</dcterms:modified>
</cp:coreProperties>
</file>